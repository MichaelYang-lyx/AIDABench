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guanzhou/Downloads/澳鹏-数值统计数据编辑/xh组汇总/input/9778156d-864c-4036-bc0f-b56f1b13670d/"/>
    </mc:Choice>
  </mc:AlternateContent>
  <xr:revisionPtr revIDLastSave="0" documentId="13_ncr:1_{929F925B-861C-C840-9A44-1E10F768C578}" xr6:coauthVersionLast="47" xr6:coauthVersionMax="47" xr10:uidLastSave="{00000000-0000-0000-0000-000000000000}"/>
  <bookViews>
    <workbookView xWindow="0" yWindow="500" windowWidth="29040" windowHeight="15840" activeTab="9" xr2:uid="{EB3F62B0-8E6F-4582-9445-A0D4FC0F037B}"/>
  </bookViews>
  <sheets>
    <sheet name="1月" sheetId="1" r:id="rId1"/>
    <sheet name="2月" sheetId="3" r:id="rId2"/>
    <sheet name="3月" sheetId="4" r:id="rId3"/>
    <sheet name="4月" sheetId="5" r:id="rId4"/>
    <sheet name="5月" sheetId="6" r:id="rId5"/>
    <sheet name="6月" sheetId="7" r:id="rId6"/>
    <sheet name="7月" sheetId="8" r:id="rId7"/>
    <sheet name="8月" sheetId="9" r:id="rId8"/>
    <sheet name="9月" sheetId="10" r:id="rId9"/>
    <sheet name="10月" sheetId="11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10" l="1"/>
  <c r="J17" i="10" s="1"/>
  <c r="H16" i="10"/>
  <c r="J16" i="10" s="1"/>
  <c r="H15" i="10"/>
  <c r="J15" i="10" s="1"/>
  <c r="H14" i="10"/>
  <c r="J14" i="10" s="1"/>
  <c r="H13" i="10"/>
  <c r="J13" i="10" s="1"/>
  <c r="H12" i="10"/>
  <c r="J12" i="10" s="1"/>
  <c r="H11" i="10"/>
  <c r="J11" i="10" s="1"/>
  <c r="H10" i="10"/>
  <c r="J10" i="10" s="1"/>
  <c r="H9" i="10"/>
  <c r="J9" i="10" s="1"/>
  <c r="H8" i="10"/>
  <c r="J8" i="10" s="1"/>
  <c r="H7" i="10"/>
  <c r="J7" i="10" s="1"/>
  <c r="H6" i="10"/>
  <c r="J6" i="10" s="1"/>
  <c r="H5" i="10"/>
  <c r="J5" i="10" s="1"/>
  <c r="H4" i="10"/>
  <c r="J4" i="10" s="1"/>
  <c r="J18" i="10" l="1"/>
  <c r="H18" i="10"/>
  <c r="M18" i="9"/>
  <c r="G18" i="9"/>
  <c r="N17" i="9"/>
  <c r="L17" i="9"/>
  <c r="K17" i="9"/>
  <c r="J17" i="9"/>
  <c r="I17" i="9"/>
  <c r="H17" i="9"/>
  <c r="D17" i="9"/>
  <c r="C17" i="9"/>
  <c r="N16" i="9"/>
  <c r="L16" i="9"/>
  <c r="K16" i="9"/>
  <c r="J16" i="9"/>
  <c r="I16" i="9"/>
  <c r="H16" i="9"/>
  <c r="D16" i="9"/>
  <c r="C16" i="9"/>
  <c r="P15" i="9"/>
  <c r="N15" i="9"/>
  <c r="L15" i="9"/>
  <c r="K15" i="9"/>
  <c r="J15" i="9"/>
  <c r="I15" i="9"/>
  <c r="H15" i="9"/>
  <c r="D15" i="9"/>
  <c r="C15" i="9"/>
  <c r="N14" i="9"/>
  <c r="L14" i="9"/>
  <c r="K14" i="9"/>
  <c r="J14" i="9"/>
  <c r="I14" i="9"/>
  <c r="H14" i="9"/>
  <c r="F14" i="9"/>
  <c r="P14" i="9" s="1"/>
  <c r="E14" i="9"/>
  <c r="D14" i="9"/>
  <c r="C14" i="9"/>
  <c r="N13" i="9"/>
  <c r="L13" i="9"/>
  <c r="K13" i="9"/>
  <c r="J13" i="9"/>
  <c r="I13" i="9"/>
  <c r="H13" i="9"/>
  <c r="F13" i="9"/>
  <c r="E13" i="9"/>
  <c r="D13" i="9"/>
  <c r="C13" i="9"/>
  <c r="N12" i="9"/>
  <c r="L12" i="9"/>
  <c r="K12" i="9"/>
  <c r="J12" i="9"/>
  <c r="I12" i="9"/>
  <c r="H12" i="9"/>
  <c r="F12" i="9"/>
  <c r="E12" i="9"/>
  <c r="D12" i="9"/>
  <c r="C12" i="9"/>
  <c r="N11" i="9"/>
  <c r="L11" i="9"/>
  <c r="K11" i="9"/>
  <c r="J11" i="9"/>
  <c r="I11" i="9"/>
  <c r="H11" i="9"/>
  <c r="F11" i="9"/>
  <c r="E11" i="9"/>
  <c r="D11" i="9"/>
  <c r="C11" i="9"/>
  <c r="N10" i="9"/>
  <c r="L10" i="9"/>
  <c r="K10" i="9"/>
  <c r="J10" i="9"/>
  <c r="I10" i="9"/>
  <c r="H10" i="9"/>
  <c r="F10" i="9"/>
  <c r="E10" i="9"/>
  <c r="D10" i="9"/>
  <c r="C10" i="9"/>
  <c r="N9" i="9"/>
  <c r="L9" i="9"/>
  <c r="K9" i="9"/>
  <c r="J9" i="9"/>
  <c r="I9" i="9"/>
  <c r="H9" i="9"/>
  <c r="F9" i="9"/>
  <c r="E9" i="9"/>
  <c r="D9" i="9"/>
  <c r="C9" i="9"/>
  <c r="N8" i="9"/>
  <c r="L8" i="9"/>
  <c r="K8" i="9"/>
  <c r="J8" i="9"/>
  <c r="I8" i="9"/>
  <c r="H8" i="9"/>
  <c r="F8" i="9"/>
  <c r="E8" i="9"/>
  <c r="D8" i="9"/>
  <c r="C8" i="9"/>
  <c r="N7" i="9"/>
  <c r="L7" i="9"/>
  <c r="K7" i="9"/>
  <c r="J7" i="9"/>
  <c r="I7" i="9"/>
  <c r="H7" i="9"/>
  <c r="F7" i="9"/>
  <c r="E7" i="9"/>
  <c r="D7" i="9"/>
  <c r="C7" i="9"/>
  <c r="N6" i="9"/>
  <c r="L6" i="9"/>
  <c r="K6" i="9"/>
  <c r="J6" i="9"/>
  <c r="I6" i="9"/>
  <c r="H6" i="9"/>
  <c r="F6" i="9"/>
  <c r="E6" i="9"/>
  <c r="D6" i="9"/>
  <c r="C6" i="9"/>
  <c r="N5" i="9"/>
  <c r="L5" i="9"/>
  <c r="K5" i="9"/>
  <c r="J5" i="9"/>
  <c r="I5" i="9"/>
  <c r="H5" i="9"/>
  <c r="F5" i="9"/>
  <c r="O5" i="9" s="1"/>
  <c r="E5" i="9"/>
  <c r="D5" i="9"/>
  <c r="B5" i="9"/>
  <c r="N4" i="9"/>
  <c r="L4" i="9"/>
  <c r="L18" i="9" s="1"/>
  <c r="K4" i="9"/>
  <c r="J4" i="9"/>
  <c r="I4" i="9"/>
  <c r="H4" i="9"/>
  <c r="H18" i="9" s="1"/>
  <c r="F4" i="9"/>
  <c r="E4" i="9"/>
  <c r="E18" i="9" s="1"/>
  <c r="D4" i="9"/>
  <c r="D18" i="9" s="1"/>
  <c r="B4" i="9"/>
  <c r="O8" i="9" l="1"/>
  <c r="C18" i="9"/>
  <c r="O15" i="9"/>
  <c r="P17" i="9"/>
  <c r="P11" i="9"/>
  <c r="P4" i="9"/>
  <c r="N18" i="9"/>
  <c r="P7" i="9"/>
  <c r="P10" i="9"/>
  <c r="O13" i="9"/>
  <c r="I18" i="9"/>
  <c r="P6" i="9"/>
  <c r="P9" i="9"/>
  <c r="P12" i="9"/>
  <c r="P16" i="9"/>
  <c r="K18" i="9"/>
  <c r="B18" i="9"/>
  <c r="J18" i="9"/>
  <c r="O6" i="9"/>
  <c r="O7" i="9"/>
  <c r="O9" i="9"/>
  <c r="O14" i="9"/>
  <c r="O17" i="9"/>
  <c r="P5" i="9"/>
  <c r="P8" i="9"/>
  <c r="P13" i="9"/>
  <c r="O16" i="9"/>
  <c r="O4" i="9"/>
  <c r="O10" i="9"/>
  <c r="O11" i="9"/>
  <c r="O12" i="9"/>
  <c r="F18" i="9"/>
  <c r="P18" i="9" s="1"/>
  <c r="O18" i="9" l="1"/>
  <c r="P16" i="7" l="1"/>
  <c r="P15" i="7"/>
  <c r="P14" i="7"/>
  <c r="P13" i="7"/>
  <c r="P12" i="7"/>
  <c r="P11" i="7"/>
  <c r="P10" i="7"/>
  <c r="P9" i="7"/>
  <c r="P8" i="7"/>
  <c r="P7" i="7"/>
  <c r="P6" i="7"/>
  <c r="P5" i="7"/>
  <c r="P4" i="7"/>
  <c r="G16" i="1" l="1"/>
  <c r="G15" i="1"/>
  <c r="G14" i="1"/>
  <c r="G13" i="1"/>
  <c r="G12" i="1"/>
  <c r="G11" i="1"/>
  <c r="G10" i="1"/>
  <c r="G9" i="1"/>
  <c r="G8" i="1"/>
  <c r="G7" i="1"/>
  <c r="G6" i="1"/>
  <c r="G5" i="1"/>
  <c r="G4" i="1"/>
</calcChain>
</file>

<file path=xl/sharedStrings.xml><?xml version="1.0" encoding="utf-8"?>
<sst xmlns="http://schemas.openxmlformats.org/spreadsheetml/2006/main" count="309" uniqueCount="42">
  <si>
    <t>单位：元</t>
  </si>
  <si>
    <t>所在部室</t>
  </si>
  <si>
    <t>基本工资</t>
  </si>
  <si>
    <t>绩效工资</t>
  </si>
  <si>
    <t>交通补贴</t>
  </si>
  <si>
    <t>通讯补贴</t>
  </si>
  <si>
    <t>补发工资</t>
  </si>
  <si>
    <t>合计</t>
  </si>
  <si>
    <t>失业险</t>
  </si>
  <si>
    <t>大额医疗保险</t>
  </si>
  <si>
    <t>医疗保险</t>
  </si>
  <si>
    <t>养老保险</t>
  </si>
  <si>
    <t>公积金</t>
  </si>
  <si>
    <t>还工资欠款</t>
  </si>
  <si>
    <t>工资个税</t>
  </si>
  <si>
    <t>银行代发</t>
  </si>
  <si>
    <t>公司领导</t>
    <phoneticPr fontId="4" type="noConversion"/>
  </si>
  <si>
    <t>产品研发部</t>
    <phoneticPr fontId="4" type="noConversion"/>
  </si>
  <si>
    <t>市场营销部</t>
    <phoneticPr fontId="4" type="noConversion"/>
  </si>
  <si>
    <t>财务管理部</t>
    <phoneticPr fontId="4" type="noConversion"/>
  </si>
  <si>
    <t>补发工资</t>
    <phoneticPr fontId="4" type="noConversion"/>
  </si>
  <si>
    <t>还工资欠款</t>
    <phoneticPr fontId="4" type="noConversion"/>
  </si>
  <si>
    <t>工资个税</t>
    <phoneticPr fontId="4" type="noConversion"/>
  </si>
  <si>
    <t>合计</t>
    <phoneticPr fontId="4" type="noConversion"/>
  </si>
  <si>
    <t>基薪</t>
    <phoneticPr fontId="4" type="noConversion"/>
  </si>
  <si>
    <t>岗位工资</t>
    <phoneticPr fontId="4" type="noConversion"/>
  </si>
  <si>
    <t>基薪</t>
  </si>
  <si>
    <t>岗位工资</t>
  </si>
  <si>
    <t>工资总额</t>
    <phoneticPr fontId="4" type="noConversion"/>
  </si>
  <si>
    <t>防暑降温费</t>
    <phoneticPr fontId="4" type="noConversion"/>
  </si>
  <si>
    <t>实发</t>
    <phoneticPr fontId="4" type="noConversion"/>
  </si>
  <si>
    <t>工资欠款（企业垫付）</t>
    <phoneticPr fontId="4" type="noConversion"/>
  </si>
  <si>
    <r>
      <t>公司2025年1</t>
    </r>
    <r>
      <rPr>
        <b/>
        <sz val="16"/>
        <color rgb="FF000000"/>
        <rFont val="等线"/>
        <family val="3"/>
        <charset val="134"/>
      </rPr>
      <t>月工资发放明细</t>
    </r>
    <phoneticPr fontId="4" type="noConversion"/>
  </si>
  <si>
    <r>
      <t>公司2025年2</t>
    </r>
    <r>
      <rPr>
        <b/>
        <sz val="16"/>
        <color rgb="FF000000"/>
        <rFont val="等线"/>
        <family val="3"/>
        <charset val="134"/>
      </rPr>
      <t>月工资发放明细</t>
    </r>
    <phoneticPr fontId="4" type="noConversion"/>
  </si>
  <si>
    <r>
      <t>公司2025年4</t>
    </r>
    <r>
      <rPr>
        <b/>
        <sz val="16"/>
        <color rgb="FF000000"/>
        <rFont val="等线"/>
        <family val="3"/>
        <charset val="134"/>
      </rPr>
      <t>月工资发放明细</t>
    </r>
    <phoneticPr fontId="4" type="noConversion"/>
  </si>
  <si>
    <r>
      <t>公司2025年3</t>
    </r>
    <r>
      <rPr>
        <b/>
        <sz val="16"/>
        <color rgb="FF000000"/>
        <rFont val="等线"/>
        <family val="3"/>
        <charset val="134"/>
      </rPr>
      <t>月工资发放明细</t>
    </r>
    <phoneticPr fontId="4" type="noConversion"/>
  </si>
  <si>
    <r>
      <t>公司2025年5</t>
    </r>
    <r>
      <rPr>
        <b/>
        <sz val="16"/>
        <color rgb="FF000000"/>
        <rFont val="等线"/>
        <family val="3"/>
        <charset val="134"/>
      </rPr>
      <t>月工资发放明细</t>
    </r>
    <phoneticPr fontId="4" type="noConversion"/>
  </si>
  <si>
    <r>
      <t>公司2025年6</t>
    </r>
    <r>
      <rPr>
        <b/>
        <sz val="16"/>
        <color rgb="FF000000"/>
        <rFont val="等线"/>
        <family val="3"/>
        <charset val="134"/>
      </rPr>
      <t>月工资发放明细</t>
    </r>
    <phoneticPr fontId="4" type="noConversion"/>
  </si>
  <si>
    <r>
      <t>公司2025年7</t>
    </r>
    <r>
      <rPr>
        <b/>
        <sz val="16"/>
        <color rgb="FF000000"/>
        <rFont val="等线"/>
        <family val="3"/>
        <charset val="134"/>
      </rPr>
      <t>月工资发放明细</t>
    </r>
    <phoneticPr fontId="4" type="noConversion"/>
  </si>
  <si>
    <r>
      <t>公司2025年8</t>
    </r>
    <r>
      <rPr>
        <b/>
        <sz val="16"/>
        <color rgb="FF000000"/>
        <rFont val="等线"/>
        <family val="3"/>
        <charset val="134"/>
      </rPr>
      <t>月工资发放明细</t>
    </r>
    <phoneticPr fontId="4" type="noConversion"/>
  </si>
  <si>
    <r>
      <t>公司2025年9</t>
    </r>
    <r>
      <rPr>
        <b/>
        <sz val="16"/>
        <color rgb="FF000000"/>
        <rFont val="等线"/>
        <family val="3"/>
        <charset val="134"/>
      </rPr>
      <t>月工资发放明细</t>
    </r>
    <phoneticPr fontId="4" type="noConversion"/>
  </si>
  <si>
    <r>
      <t>公司2025年10</t>
    </r>
    <r>
      <rPr>
        <b/>
        <sz val="16"/>
        <color rgb="FF000000"/>
        <rFont val="等线"/>
        <family val="3"/>
        <charset val="134"/>
      </rPr>
      <t>月工资发放明细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</si>
</sst>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.00_ ;_ * \-#,##0.00_ ;_ * &quot;-&quot;??_ ;_ @_ "/>
    <numFmt numFmtId="177" formatCode="0.00_);[Red]\(0.00\)"/>
    <numFmt numFmtId="178" formatCode="0.00_ "/>
  </numFmts>
  <fonts count="9"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6"/>
      <color rgb="FF000000"/>
      <name val="等线"/>
      <family val="3"/>
      <charset val="134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37437055574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177" fontId="7" fillId="2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178" fontId="7" fillId="0" borderId="2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7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77" fontId="7" fillId="3" borderId="2" xfId="0" applyNumberFormat="1" applyFont="1" applyFill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常规" xfId="0" builtinId="0"/>
    <cellStyle name="千位分隔 2" xfId="1" xr:uid="{E4885018-BE7C-49B1-9538-9FFC291CD6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&#34218;&#37228;&#31649;&#29702;/0-&#24037;&#36164;&#12289;&#23395;&#24230;&#22870;&#19982;&#24180;&#32456;&#22870;/2-&#24037;&#36164;&#21457;&#25918;/2025&#24180;&#24037;&#36164;&#21457;&#25918;/8&#26376;/&#25968;&#26234;&#21450;&#22825;&#36828;&#21171;&#21153;/1-202508&#25968;&#26234;&#20844;&#21496;&#34218;&#37228;&#21457;&#25918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发放表"/>
      <sheetName val="还款表"/>
      <sheetName val="个税表"/>
      <sheetName val="工资明细"/>
      <sheetName val="SAP"/>
      <sheetName val="个税明细"/>
      <sheetName val="工资底稿"/>
      <sheetName val="绩效"/>
      <sheetName val="工资变动通知单"/>
    </sheetNames>
    <sheetDataSet>
      <sheetData sheetId="0"/>
      <sheetData sheetId="1"/>
      <sheetData sheetId="2"/>
      <sheetData sheetId="3">
        <row r="18">
          <cell r="E18">
            <v>55416</v>
          </cell>
        </row>
      </sheetData>
      <sheetData sheetId="4"/>
      <sheetData sheetId="5"/>
      <sheetData sheetId="6">
        <row r="2">
          <cell r="G2">
            <v>28333</v>
          </cell>
          <cell r="K2">
            <v>3400</v>
          </cell>
          <cell r="L2">
            <v>600</v>
          </cell>
          <cell r="N2">
            <v>0</v>
          </cell>
          <cell r="AA2">
            <v>-125.33</v>
          </cell>
          <cell r="AC2">
            <v>-22</v>
          </cell>
          <cell r="AD2">
            <v>-501.3</v>
          </cell>
          <cell r="AE2">
            <v>-2005.2</v>
          </cell>
          <cell r="AH2">
            <v>-3343</v>
          </cell>
          <cell r="AO2">
            <v>5199.04</v>
          </cell>
        </row>
        <row r="3">
          <cell r="G3">
            <v>27083</v>
          </cell>
          <cell r="K3">
            <v>3200</v>
          </cell>
          <cell r="L3">
            <v>500</v>
          </cell>
          <cell r="N3">
            <v>0</v>
          </cell>
          <cell r="AA3">
            <v>-125.33</v>
          </cell>
          <cell r="AC3">
            <v>-22</v>
          </cell>
          <cell r="AD3">
            <v>-501.3</v>
          </cell>
          <cell r="AE3">
            <v>-2005.2</v>
          </cell>
          <cell r="AH3">
            <v>-3343</v>
          </cell>
          <cell r="AO3">
            <v>4811.54</v>
          </cell>
        </row>
        <row r="4">
          <cell r="H4">
            <v>10821.5</v>
          </cell>
          <cell r="K4">
            <v>0</v>
          </cell>
          <cell r="N4">
            <v>8657.2000000000007</v>
          </cell>
          <cell r="AA4">
            <v>-108.3</v>
          </cell>
          <cell r="AC4">
            <v>-22</v>
          </cell>
          <cell r="AD4">
            <v>-433.2</v>
          </cell>
          <cell r="AE4">
            <v>-1732.8</v>
          </cell>
          <cell r="AH4">
            <v>-2599</v>
          </cell>
          <cell r="AO4">
            <v>808.34</v>
          </cell>
        </row>
        <row r="5">
          <cell r="H5">
            <v>11246</v>
          </cell>
          <cell r="K5">
            <v>0</v>
          </cell>
          <cell r="N5">
            <v>8996.8000000000011</v>
          </cell>
          <cell r="AA5">
            <v>-112.55</v>
          </cell>
          <cell r="AC5">
            <v>-22</v>
          </cell>
          <cell r="AD5">
            <v>-450.18</v>
          </cell>
          <cell r="AE5">
            <v>-1800.72</v>
          </cell>
          <cell r="AH5">
            <v>-2701</v>
          </cell>
          <cell r="AO5">
            <v>715.63</v>
          </cell>
        </row>
        <row r="6">
          <cell r="H6">
            <v>6250</v>
          </cell>
          <cell r="K6">
            <v>0</v>
          </cell>
          <cell r="N6">
            <v>5500.0000000000009</v>
          </cell>
          <cell r="AA6">
            <v>-93.84</v>
          </cell>
          <cell r="AC6">
            <v>-22</v>
          </cell>
          <cell r="AD6">
            <v>-375.34</v>
          </cell>
          <cell r="AE6">
            <v>-1501.36</v>
          </cell>
          <cell r="AH6">
            <v>-3343</v>
          </cell>
          <cell r="AO6">
            <v>0</v>
          </cell>
        </row>
        <row r="7">
          <cell r="H7">
            <v>12500</v>
          </cell>
          <cell r="N7">
            <v>10000</v>
          </cell>
          <cell r="AA7">
            <v>-125.33</v>
          </cell>
          <cell r="AC7">
            <v>-22</v>
          </cell>
          <cell r="AD7">
            <v>-501.3</v>
          </cell>
          <cell r="AE7">
            <v>-2005.2</v>
          </cell>
          <cell r="AH7">
            <v>-3012</v>
          </cell>
          <cell r="AO7">
            <v>883.42</v>
          </cell>
        </row>
        <row r="8">
          <cell r="H8">
            <v>9494</v>
          </cell>
          <cell r="N8">
            <v>7595.2000000000007</v>
          </cell>
          <cell r="AA8">
            <v>-95.03</v>
          </cell>
          <cell r="AC8">
            <v>-22</v>
          </cell>
          <cell r="AD8">
            <v>-380.1</v>
          </cell>
          <cell r="AE8">
            <v>-1520.4</v>
          </cell>
          <cell r="AH8">
            <v>-2281</v>
          </cell>
          <cell r="AO8">
            <v>38.72</v>
          </cell>
        </row>
        <row r="9">
          <cell r="H9">
            <v>11870.5</v>
          </cell>
          <cell r="N9">
            <v>9496.4</v>
          </cell>
          <cell r="AA9">
            <v>-118.79</v>
          </cell>
          <cell r="AC9">
            <v>-22</v>
          </cell>
          <cell r="AD9">
            <v>-475.16</v>
          </cell>
          <cell r="AE9">
            <v>-1900.64</v>
          </cell>
          <cell r="AH9">
            <v>-2851</v>
          </cell>
          <cell r="AO9">
            <v>699.93</v>
          </cell>
        </row>
        <row r="10">
          <cell r="H10">
            <v>11500</v>
          </cell>
          <cell r="N10">
            <v>9200</v>
          </cell>
          <cell r="AA10">
            <v>-115.97</v>
          </cell>
          <cell r="AC10">
            <v>-22</v>
          </cell>
          <cell r="AD10">
            <v>-463.86</v>
          </cell>
          <cell r="AE10">
            <v>-1855.44</v>
          </cell>
          <cell r="AH10">
            <v>-2783</v>
          </cell>
          <cell r="AO10">
            <v>595.97</v>
          </cell>
        </row>
        <row r="11">
          <cell r="H11">
            <v>10600</v>
          </cell>
          <cell r="K11">
            <v>0</v>
          </cell>
          <cell r="N11">
            <v>8480</v>
          </cell>
          <cell r="AA11">
            <v>-125.33</v>
          </cell>
          <cell r="AC11">
            <v>-22</v>
          </cell>
          <cell r="AD11">
            <v>-501.3</v>
          </cell>
          <cell r="AE11">
            <v>-2005.2</v>
          </cell>
          <cell r="AH11">
            <v>-3343</v>
          </cell>
          <cell r="AO11">
            <v>704.32</v>
          </cell>
        </row>
        <row r="12">
          <cell r="H12">
            <v>4250</v>
          </cell>
          <cell r="N12">
            <v>3740</v>
          </cell>
          <cell r="AA12">
            <v>-42.5</v>
          </cell>
          <cell r="AC12">
            <v>-22</v>
          </cell>
          <cell r="AD12">
            <v>-170</v>
          </cell>
          <cell r="AE12">
            <v>-680</v>
          </cell>
          <cell r="AH12">
            <v>-1020</v>
          </cell>
          <cell r="AO12">
            <v>31.66</v>
          </cell>
        </row>
        <row r="13">
          <cell r="H13">
            <v>12500</v>
          </cell>
          <cell r="N13">
            <v>10000</v>
          </cell>
          <cell r="AA13">
            <v>-125</v>
          </cell>
          <cell r="AC13">
            <v>-22</v>
          </cell>
          <cell r="AD13">
            <v>-500</v>
          </cell>
          <cell r="AE13">
            <v>-2000</v>
          </cell>
          <cell r="AH13">
            <v>-3000</v>
          </cell>
          <cell r="AO13">
            <v>1185.3</v>
          </cell>
        </row>
        <row r="14">
          <cell r="H14">
            <v>10000</v>
          </cell>
          <cell r="N14">
            <v>8000</v>
          </cell>
          <cell r="AA14">
            <v>-100</v>
          </cell>
          <cell r="AC14">
            <v>-22</v>
          </cell>
          <cell r="AD14">
            <v>-400</v>
          </cell>
          <cell r="AE14">
            <v>-1600</v>
          </cell>
          <cell r="AH14">
            <v>-2400</v>
          </cell>
          <cell r="AO14">
            <v>241.32</v>
          </cell>
        </row>
        <row r="15">
          <cell r="H15">
            <v>7500</v>
          </cell>
          <cell r="N15">
            <v>6000</v>
          </cell>
          <cell r="AA15">
            <v>-75</v>
          </cell>
          <cell r="AC15">
            <v>-22</v>
          </cell>
          <cell r="AD15">
            <v>-300</v>
          </cell>
          <cell r="AE15">
            <v>-1200</v>
          </cell>
          <cell r="AH15">
            <v>-1800</v>
          </cell>
          <cell r="AO15">
            <v>148.15</v>
          </cell>
        </row>
      </sheetData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4046D-EE08-43A3-A211-8D8ECB9CCD92}">
  <sheetPr>
    <tabColor rgb="FFFFC000"/>
  </sheetPr>
  <dimension ref="A1:O21"/>
  <sheetViews>
    <sheetView workbookViewId="0">
      <selection sqref="A1:O1"/>
    </sheetView>
  </sheetViews>
  <sheetFormatPr baseColWidth="10" defaultColWidth="9" defaultRowHeight="15"/>
  <cols>
    <col min="1" max="1" width="21.33203125" style="1" customWidth="1"/>
    <col min="2" max="2" width="10.5" style="1" customWidth="1"/>
    <col min="3" max="3" width="8.6640625" style="1" customWidth="1"/>
    <col min="4" max="4" width="8.83203125" style="1" customWidth="1"/>
    <col min="5" max="7" width="9.83203125" style="1" customWidth="1"/>
    <col min="8" max="8" width="9.5" style="1" customWidth="1"/>
    <col min="9" max="9" width="8.5" style="1" customWidth="1"/>
    <col min="10" max="10" width="9.1640625" style="1" customWidth="1"/>
    <col min="11" max="11" width="11.6640625" style="1" customWidth="1"/>
    <col min="12" max="12" width="10.5" style="1" customWidth="1"/>
    <col min="13" max="13" width="9" style="1" customWidth="1"/>
    <col min="14" max="14" width="10.5" style="1" customWidth="1"/>
    <col min="15" max="15" width="16.1640625" style="12" customWidth="1"/>
    <col min="16" max="16" width="9" style="1" customWidth="1"/>
    <col min="17" max="208" width="9" style="1"/>
    <col min="209" max="209" width="6.6640625" style="1" customWidth="1"/>
    <col min="210" max="210" width="6.33203125" style="1" customWidth="1"/>
    <col min="211" max="214" width="8" style="1" customWidth="1"/>
    <col min="215" max="215" width="7.5" style="1" customWidth="1"/>
    <col min="216" max="217" width="8" style="1" customWidth="1"/>
    <col min="218" max="219" width="7.6640625" style="1" customWidth="1"/>
    <col min="220" max="220" width="9.6640625" style="1" customWidth="1"/>
    <col min="221" max="221" width="8.5" style="1" customWidth="1"/>
    <col min="222" max="222" width="7.6640625" style="1" customWidth="1"/>
    <col min="223" max="223" width="6.33203125" style="1" customWidth="1"/>
    <col min="224" max="224" width="8" style="1" customWidth="1"/>
    <col min="225" max="225" width="9.6640625" style="1" customWidth="1"/>
    <col min="226" max="226" width="8.5" style="1" customWidth="1"/>
    <col min="227" max="464" width="9" style="1"/>
    <col min="465" max="465" width="6.6640625" style="1" customWidth="1"/>
    <col min="466" max="466" width="6.33203125" style="1" customWidth="1"/>
    <col min="467" max="470" width="8" style="1" customWidth="1"/>
    <col min="471" max="471" width="7.5" style="1" customWidth="1"/>
    <col min="472" max="473" width="8" style="1" customWidth="1"/>
    <col min="474" max="475" width="7.6640625" style="1" customWidth="1"/>
    <col min="476" max="476" width="9.6640625" style="1" customWidth="1"/>
    <col min="477" max="477" width="8.5" style="1" customWidth="1"/>
    <col min="478" max="478" width="7.6640625" style="1" customWidth="1"/>
    <col min="479" max="479" width="6.33203125" style="1" customWidth="1"/>
    <col min="480" max="480" width="8" style="1" customWidth="1"/>
    <col min="481" max="481" width="9.6640625" style="1" customWidth="1"/>
    <col min="482" max="482" width="8.5" style="1" customWidth="1"/>
    <col min="483" max="720" width="9" style="1"/>
    <col min="721" max="721" width="6.6640625" style="1" customWidth="1"/>
    <col min="722" max="722" width="6.33203125" style="1" customWidth="1"/>
    <col min="723" max="726" width="8" style="1" customWidth="1"/>
    <col min="727" max="727" width="7.5" style="1" customWidth="1"/>
    <col min="728" max="729" width="8" style="1" customWidth="1"/>
    <col min="730" max="731" width="7.6640625" style="1" customWidth="1"/>
    <col min="732" max="732" width="9.6640625" style="1" customWidth="1"/>
    <col min="733" max="733" width="8.5" style="1" customWidth="1"/>
    <col min="734" max="734" width="7.6640625" style="1" customWidth="1"/>
    <col min="735" max="735" width="6.33203125" style="1" customWidth="1"/>
    <col min="736" max="736" width="8" style="1" customWidth="1"/>
    <col min="737" max="737" width="9.6640625" style="1" customWidth="1"/>
    <col min="738" max="738" width="8.5" style="1" customWidth="1"/>
    <col min="739" max="976" width="9" style="1"/>
    <col min="977" max="977" width="6.6640625" style="1" customWidth="1"/>
    <col min="978" max="978" width="6.33203125" style="1" customWidth="1"/>
    <col min="979" max="982" width="8" style="1" customWidth="1"/>
    <col min="983" max="983" width="7.5" style="1" customWidth="1"/>
    <col min="984" max="985" width="8" style="1" customWidth="1"/>
    <col min="986" max="987" width="7.6640625" style="1" customWidth="1"/>
    <col min="988" max="988" width="9.6640625" style="1" customWidth="1"/>
    <col min="989" max="989" width="8.5" style="1" customWidth="1"/>
    <col min="990" max="990" width="7.6640625" style="1" customWidth="1"/>
    <col min="991" max="991" width="6.33203125" style="1" customWidth="1"/>
    <col min="992" max="992" width="8" style="1" customWidth="1"/>
    <col min="993" max="993" width="9.6640625" style="1" customWidth="1"/>
    <col min="994" max="994" width="8.5" style="1" customWidth="1"/>
    <col min="995" max="1232" width="9" style="1"/>
    <col min="1233" max="1233" width="6.6640625" style="1" customWidth="1"/>
    <col min="1234" max="1234" width="6.33203125" style="1" customWidth="1"/>
    <col min="1235" max="1238" width="8" style="1" customWidth="1"/>
    <col min="1239" max="1239" width="7.5" style="1" customWidth="1"/>
    <col min="1240" max="1241" width="8" style="1" customWidth="1"/>
    <col min="1242" max="1243" width="7.6640625" style="1" customWidth="1"/>
    <col min="1244" max="1244" width="9.6640625" style="1" customWidth="1"/>
    <col min="1245" max="1245" width="8.5" style="1" customWidth="1"/>
    <col min="1246" max="1246" width="7.6640625" style="1" customWidth="1"/>
    <col min="1247" max="1247" width="6.33203125" style="1" customWidth="1"/>
    <col min="1248" max="1248" width="8" style="1" customWidth="1"/>
    <col min="1249" max="1249" width="9.6640625" style="1" customWidth="1"/>
    <col min="1250" max="1250" width="8.5" style="1" customWidth="1"/>
    <col min="1251" max="1488" width="9" style="1"/>
    <col min="1489" max="1489" width="6.6640625" style="1" customWidth="1"/>
    <col min="1490" max="1490" width="6.33203125" style="1" customWidth="1"/>
    <col min="1491" max="1494" width="8" style="1" customWidth="1"/>
    <col min="1495" max="1495" width="7.5" style="1" customWidth="1"/>
    <col min="1496" max="1497" width="8" style="1" customWidth="1"/>
    <col min="1498" max="1499" width="7.6640625" style="1" customWidth="1"/>
    <col min="1500" max="1500" width="9.6640625" style="1" customWidth="1"/>
    <col min="1501" max="1501" width="8.5" style="1" customWidth="1"/>
    <col min="1502" max="1502" width="7.6640625" style="1" customWidth="1"/>
    <col min="1503" max="1503" width="6.33203125" style="1" customWidth="1"/>
    <col min="1504" max="1504" width="8" style="1" customWidth="1"/>
    <col min="1505" max="1505" width="9.6640625" style="1" customWidth="1"/>
    <col min="1506" max="1506" width="8.5" style="1" customWidth="1"/>
    <col min="1507" max="1744" width="9" style="1"/>
    <col min="1745" max="1745" width="6.6640625" style="1" customWidth="1"/>
    <col min="1746" max="1746" width="6.33203125" style="1" customWidth="1"/>
    <col min="1747" max="1750" width="8" style="1" customWidth="1"/>
    <col min="1751" max="1751" width="7.5" style="1" customWidth="1"/>
    <col min="1752" max="1753" width="8" style="1" customWidth="1"/>
    <col min="1754" max="1755" width="7.6640625" style="1" customWidth="1"/>
    <col min="1756" max="1756" width="9.6640625" style="1" customWidth="1"/>
    <col min="1757" max="1757" width="8.5" style="1" customWidth="1"/>
    <col min="1758" max="1758" width="7.6640625" style="1" customWidth="1"/>
    <col min="1759" max="1759" width="6.33203125" style="1" customWidth="1"/>
    <col min="1760" max="1760" width="8" style="1" customWidth="1"/>
    <col min="1761" max="1761" width="9.6640625" style="1" customWidth="1"/>
    <col min="1762" max="1762" width="8.5" style="1" customWidth="1"/>
    <col min="1763" max="2000" width="9" style="1"/>
    <col min="2001" max="2001" width="6.6640625" style="1" customWidth="1"/>
    <col min="2002" max="2002" width="6.33203125" style="1" customWidth="1"/>
    <col min="2003" max="2006" width="8" style="1" customWidth="1"/>
    <col min="2007" max="2007" width="7.5" style="1" customWidth="1"/>
    <col min="2008" max="2009" width="8" style="1" customWidth="1"/>
    <col min="2010" max="2011" width="7.6640625" style="1" customWidth="1"/>
    <col min="2012" max="2012" width="9.6640625" style="1" customWidth="1"/>
    <col min="2013" max="2013" width="8.5" style="1" customWidth="1"/>
    <col min="2014" max="2014" width="7.6640625" style="1" customWidth="1"/>
    <col min="2015" max="2015" width="6.33203125" style="1" customWidth="1"/>
    <col min="2016" max="2016" width="8" style="1" customWidth="1"/>
    <col min="2017" max="2017" width="9.6640625" style="1" customWidth="1"/>
    <col min="2018" max="2018" width="8.5" style="1" customWidth="1"/>
    <col min="2019" max="2256" width="9" style="1"/>
    <col min="2257" max="2257" width="6.6640625" style="1" customWidth="1"/>
    <col min="2258" max="2258" width="6.33203125" style="1" customWidth="1"/>
    <col min="2259" max="2262" width="8" style="1" customWidth="1"/>
    <col min="2263" max="2263" width="7.5" style="1" customWidth="1"/>
    <col min="2264" max="2265" width="8" style="1" customWidth="1"/>
    <col min="2266" max="2267" width="7.6640625" style="1" customWidth="1"/>
    <col min="2268" max="2268" width="9.6640625" style="1" customWidth="1"/>
    <col min="2269" max="2269" width="8.5" style="1" customWidth="1"/>
    <col min="2270" max="2270" width="7.6640625" style="1" customWidth="1"/>
    <col min="2271" max="2271" width="6.33203125" style="1" customWidth="1"/>
    <col min="2272" max="2272" width="8" style="1" customWidth="1"/>
    <col min="2273" max="2273" width="9.6640625" style="1" customWidth="1"/>
    <col min="2274" max="2274" width="8.5" style="1" customWidth="1"/>
    <col min="2275" max="2512" width="9" style="1"/>
    <col min="2513" max="2513" width="6.6640625" style="1" customWidth="1"/>
    <col min="2514" max="2514" width="6.33203125" style="1" customWidth="1"/>
    <col min="2515" max="2518" width="8" style="1" customWidth="1"/>
    <col min="2519" max="2519" width="7.5" style="1" customWidth="1"/>
    <col min="2520" max="2521" width="8" style="1" customWidth="1"/>
    <col min="2522" max="2523" width="7.6640625" style="1" customWidth="1"/>
    <col min="2524" max="2524" width="9.6640625" style="1" customWidth="1"/>
    <col min="2525" max="2525" width="8.5" style="1" customWidth="1"/>
    <col min="2526" max="2526" width="7.6640625" style="1" customWidth="1"/>
    <col min="2527" max="2527" width="6.33203125" style="1" customWidth="1"/>
    <col min="2528" max="2528" width="8" style="1" customWidth="1"/>
    <col min="2529" max="2529" width="9.6640625" style="1" customWidth="1"/>
    <col min="2530" max="2530" width="8.5" style="1" customWidth="1"/>
    <col min="2531" max="2768" width="9" style="1"/>
    <col min="2769" max="2769" width="6.6640625" style="1" customWidth="1"/>
    <col min="2770" max="2770" width="6.33203125" style="1" customWidth="1"/>
    <col min="2771" max="2774" width="8" style="1" customWidth="1"/>
    <col min="2775" max="2775" width="7.5" style="1" customWidth="1"/>
    <col min="2776" max="2777" width="8" style="1" customWidth="1"/>
    <col min="2778" max="2779" width="7.6640625" style="1" customWidth="1"/>
    <col min="2780" max="2780" width="9.6640625" style="1" customWidth="1"/>
    <col min="2781" max="2781" width="8.5" style="1" customWidth="1"/>
    <col min="2782" max="2782" width="7.6640625" style="1" customWidth="1"/>
    <col min="2783" max="2783" width="6.33203125" style="1" customWidth="1"/>
    <col min="2784" max="2784" width="8" style="1" customWidth="1"/>
    <col min="2785" max="2785" width="9.6640625" style="1" customWidth="1"/>
    <col min="2786" max="2786" width="8.5" style="1" customWidth="1"/>
    <col min="2787" max="3024" width="9" style="1"/>
    <col min="3025" max="3025" width="6.6640625" style="1" customWidth="1"/>
    <col min="3026" max="3026" width="6.33203125" style="1" customWidth="1"/>
    <col min="3027" max="3030" width="8" style="1" customWidth="1"/>
    <col min="3031" max="3031" width="7.5" style="1" customWidth="1"/>
    <col min="3032" max="3033" width="8" style="1" customWidth="1"/>
    <col min="3034" max="3035" width="7.6640625" style="1" customWidth="1"/>
    <col min="3036" max="3036" width="9.6640625" style="1" customWidth="1"/>
    <col min="3037" max="3037" width="8.5" style="1" customWidth="1"/>
    <col min="3038" max="3038" width="7.6640625" style="1" customWidth="1"/>
    <col min="3039" max="3039" width="6.33203125" style="1" customWidth="1"/>
    <col min="3040" max="3040" width="8" style="1" customWidth="1"/>
    <col min="3041" max="3041" width="9.6640625" style="1" customWidth="1"/>
    <col min="3042" max="3042" width="8.5" style="1" customWidth="1"/>
    <col min="3043" max="3280" width="9" style="1"/>
    <col min="3281" max="3281" width="6.6640625" style="1" customWidth="1"/>
    <col min="3282" max="3282" width="6.33203125" style="1" customWidth="1"/>
    <col min="3283" max="3286" width="8" style="1" customWidth="1"/>
    <col min="3287" max="3287" width="7.5" style="1" customWidth="1"/>
    <col min="3288" max="3289" width="8" style="1" customWidth="1"/>
    <col min="3290" max="3291" width="7.6640625" style="1" customWidth="1"/>
    <col min="3292" max="3292" width="9.6640625" style="1" customWidth="1"/>
    <col min="3293" max="3293" width="8.5" style="1" customWidth="1"/>
    <col min="3294" max="3294" width="7.6640625" style="1" customWidth="1"/>
    <col min="3295" max="3295" width="6.33203125" style="1" customWidth="1"/>
    <col min="3296" max="3296" width="8" style="1" customWidth="1"/>
    <col min="3297" max="3297" width="9.6640625" style="1" customWidth="1"/>
    <col min="3298" max="3298" width="8.5" style="1" customWidth="1"/>
    <col min="3299" max="3536" width="9" style="1"/>
    <col min="3537" max="3537" width="6.6640625" style="1" customWidth="1"/>
    <col min="3538" max="3538" width="6.33203125" style="1" customWidth="1"/>
    <col min="3539" max="3542" width="8" style="1" customWidth="1"/>
    <col min="3543" max="3543" width="7.5" style="1" customWidth="1"/>
    <col min="3544" max="3545" width="8" style="1" customWidth="1"/>
    <col min="3546" max="3547" width="7.6640625" style="1" customWidth="1"/>
    <col min="3548" max="3548" width="9.6640625" style="1" customWidth="1"/>
    <col min="3549" max="3549" width="8.5" style="1" customWidth="1"/>
    <col min="3550" max="3550" width="7.6640625" style="1" customWidth="1"/>
    <col min="3551" max="3551" width="6.33203125" style="1" customWidth="1"/>
    <col min="3552" max="3552" width="8" style="1" customWidth="1"/>
    <col min="3553" max="3553" width="9.6640625" style="1" customWidth="1"/>
    <col min="3554" max="3554" width="8.5" style="1" customWidth="1"/>
    <col min="3555" max="3792" width="9" style="1"/>
    <col min="3793" max="3793" width="6.6640625" style="1" customWidth="1"/>
    <col min="3794" max="3794" width="6.33203125" style="1" customWidth="1"/>
    <col min="3795" max="3798" width="8" style="1" customWidth="1"/>
    <col min="3799" max="3799" width="7.5" style="1" customWidth="1"/>
    <col min="3800" max="3801" width="8" style="1" customWidth="1"/>
    <col min="3802" max="3803" width="7.6640625" style="1" customWidth="1"/>
    <col min="3804" max="3804" width="9.6640625" style="1" customWidth="1"/>
    <col min="3805" max="3805" width="8.5" style="1" customWidth="1"/>
    <col min="3806" max="3806" width="7.6640625" style="1" customWidth="1"/>
    <col min="3807" max="3807" width="6.33203125" style="1" customWidth="1"/>
    <col min="3808" max="3808" width="8" style="1" customWidth="1"/>
    <col min="3809" max="3809" width="9.6640625" style="1" customWidth="1"/>
    <col min="3810" max="3810" width="8.5" style="1" customWidth="1"/>
    <col min="3811" max="4048" width="9" style="1"/>
    <col min="4049" max="4049" width="6.6640625" style="1" customWidth="1"/>
    <col min="4050" max="4050" width="6.33203125" style="1" customWidth="1"/>
    <col min="4051" max="4054" width="8" style="1" customWidth="1"/>
    <col min="4055" max="4055" width="7.5" style="1" customWidth="1"/>
    <col min="4056" max="4057" width="8" style="1" customWidth="1"/>
    <col min="4058" max="4059" width="7.6640625" style="1" customWidth="1"/>
    <col min="4060" max="4060" width="9.6640625" style="1" customWidth="1"/>
    <col min="4061" max="4061" width="8.5" style="1" customWidth="1"/>
    <col min="4062" max="4062" width="7.6640625" style="1" customWidth="1"/>
    <col min="4063" max="4063" width="6.33203125" style="1" customWidth="1"/>
    <col min="4064" max="4064" width="8" style="1" customWidth="1"/>
    <col min="4065" max="4065" width="9.6640625" style="1" customWidth="1"/>
    <col min="4066" max="4066" width="8.5" style="1" customWidth="1"/>
    <col min="4067" max="4304" width="9" style="1"/>
    <col min="4305" max="4305" width="6.6640625" style="1" customWidth="1"/>
    <col min="4306" max="4306" width="6.33203125" style="1" customWidth="1"/>
    <col min="4307" max="4310" width="8" style="1" customWidth="1"/>
    <col min="4311" max="4311" width="7.5" style="1" customWidth="1"/>
    <col min="4312" max="4313" width="8" style="1" customWidth="1"/>
    <col min="4314" max="4315" width="7.6640625" style="1" customWidth="1"/>
    <col min="4316" max="4316" width="9.6640625" style="1" customWidth="1"/>
    <col min="4317" max="4317" width="8.5" style="1" customWidth="1"/>
    <col min="4318" max="4318" width="7.6640625" style="1" customWidth="1"/>
    <col min="4319" max="4319" width="6.33203125" style="1" customWidth="1"/>
    <col min="4320" max="4320" width="8" style="1" customWidth="1"/>
    <col min="4321" max="4321" width="9.6640625" style="1" customWidth="1"/>
    <col min="4322" max="4322" width="8.5" style="1" customWidth="1"/>
    <col min="4323" max="4560" width="9" style="1"/>
    <col min="4561" max="4561" width="6.6640625" style="1" customWidth="1"/>
    <col min="4562" max="4562" width="6.33203125" style="1" customWidth="1"/>
    <col min="4563" max="4566" width="8" style="1" customWidth="1"/>
    <col min="4567" max="4567" width="7.5" style="1" customWidth="1"/>
    <col min="4568" max="4569" width="8" style="1" customWidth="1"/>
    <col min="4570" max="4571" width="7.6640625" style="1" customWidth="1"/>
    <col min="4572" max="4572" width="9.6640625" style="1" customWidth="1"/>
    <col min="4573" max="4573" width="8.5" style="1" customWidth="1"/>
    <col min="4574" max="4574" width="7.6640625" style="1" customWidth="1"/>
    <col min="4575" max="4575" width="6.33203125" style="1" customWidth="1"/>
    <col min="4576" max="4576" width="8" style="1" customWidth="1"/>
    <col min="4577" max="4577" width="9.6640625" style="1" customWidth="1"/>
    <col min="4578" max="4578" width="8.5" style="1" customWidth="1"/>
    <col min="4579" max="4816" width="9" style="1"/>
    <col min="4817" max="4817" width="6.6640625" style="1" customWidth="1"/>
    <col min="4818" max="4818" width="6.33203125" style="1" customWidth="1"/>
    <col min="4819" max="4822" width="8" style="1" customWidth="1"/>
    <col min="4823" max="4823" width="7.5" style="1" customWidth="1"/>
    <col min="4824" max="4825" width="8" style="1" customWidth="1"/>
    <col min="4826" max="4827" width="7.6640625" style="1" customWidth="1"/>
    <col min="4828" max="4828" width="9.6640625" style="1" customWidth="1"/>
    <col min="4829" max="4829" width="8.5" style="1" customWidth="1"/>
    <col min="4830" max="4830" width="7.6640625" style="1" customWidth="1"/>
    <col min="4831" max="4831" width="6.33203125" style="1" customWidth="1"/>
    <col min="4832" max="4832" width="8" style="1" customWidth="1"/>
    <col min="4833" max="4833" width="9.6640625" style="1" customWidth="1"/>
    <col min="4834" max="4834" width="8.5" style="1" customWidth="1"/>
    <col min="4835" max="5072" width="9" style="1"/>
    <col min="5073" max="5073" width="6.6640625" style="1" customWidth="1"/>
    <col min="5074" max="5074" width="6.33203125" style="1" customWidth="1"/>
    <col min="5075" max="5078" width="8" style="1" customWidth="1"/>
    <col min="5079" max="5079" width="7.5" style="1" customWidth="1"/>
    <col min="5080" max="5081" width="8" style="1" customWidth="1"/>
    <col min="5082" max="5083" width="7.6640625" style="1" customWidth="1"/>
    <col min="5084" max="5084" width="9.6640625" style="1" customWidth="1"/>
    <col min="5085" max="5085" width="8.5" style="1" customWidth="1"/>
    <col min="5086" max="5086" width="7.6640625" style="1" customWidth="1"/>
    <col min="5087" max="5087" width="6.33203125" style="1" customWidth="1"/>
    <col min="5088" max="5088" width="8" style="1" customWidth="1"/>
    <col min="5089" max="5089" width="9.6640625" style="1" customWidth="1"/>
    <col min="5090" max="5090" width="8.5" style="1" customWidth="1"/>
    <col min="5091" max="5328" width="9" style="1"/>
    <col min="5329" max="5329" width="6.6640625" style="1" customWidth="1"/>
    <col min="5330" max="5330" width="6.33203125" style="1" customWidth="1"/>
    <col min="5331" max="5334" width="8" style="1" customWidth="1"/>
    <col min="5335" max="5335" width="7.5" style="1" customWidth="1"/>
    <col min="5336" max="5337" width="8" style="1" customWidth="1"/>
    <col min="5338" max="5339" width="7.6640625" style="1" customWidth="1"/>
    <col min="5340" max="5340" width="9.6640625" style="1" customWidth="1"/>
    <col min="5341" max="5341" width="8.5" style="1" customWidth="1"/>
    <col min="5342" max="5342" width="7.6640625" style="1" customWidth="1"/>
    <col min="5343" max="5343" width="6.33203125" style="1" customWidth="1"/>
    <col min="5344" max="5344" width="8" style="1" customWidth="1"/>
    <col min="5345" max="5345" width="9.6640625" style="1" customWidth="1"/>
    <col min="5346" max="5346" width="8.5" style="1" customWidth="1"/>
    <col min="5347" max="5584" width="9" style="1"/>
    <col min="5585" max="5585" width="6.6640625" style="1" customWidth="1"/>
    <col min="5586" max="5586" width="6.33203125" style="1" customWidth="1"/>
    <col min="5587" max="5590" width="8" style="1" customWidth="1"/>
    <col min="5591" max="5591" width="7.5" style="1" customWidth="1"/>
    <col min="5592" max="5593" width="8" style="1" customWidth="1"/>
    <col min="5594" max="5595" width="7.6640625" style="1" customWidth="1"/>
    <col min="5596" max="5596" width="9.6640625" style="1" customWidth="1"/>
    <col min="5597" max="5597" width="8.5" style="1" customWidth="1"/>
    <col min="5598" max="5598" width="7.6640625" style="1" customWidth="1"/>
    <col min="5599" max="5599" width="6.33203125" style="1" customWidth="1"/>
    <col min="5600" max="5600" width="8" style="1" customWidth="1"/>
    <col min="5601" max="5601" width="9.6640625" style="1" customWidth="1"/>
    <col min="5602" max="5602" width="8.5" style="1" customWidth="1"/>
    <col min="5603" max="5840" width="9" style="1"/>
    <col min="5841" max="5841" width="6.6640625" style="1" customWidth="1"/>
    <col min="5842" max="5842" width="6.33203125" style="1" customWidth="1"/>
    <col min="5843" max="5846" width="8" style="1" customWidth="1"/>
    <col min="5847" max="5847" width="7.5" style="1" customWidth="1"/>
    <col min="5848" max="5849" width="8" style="1" customWidth="1"/>
    <col min="5850" max="5851" width="7.6640625" style="1" customWidth="1"/>
    <col min="5852" max="5852" width="9.6640625" style="1" customWidth="1"/>
    <col min="5853" max="5853" width="8.5" style="1" customWidth="1"/>
    <col min="5854" max="5854" width="7.6640625" style="1" customWidth="1"/>
    <col min="5855" max="5855" width="6.33203125" style="1" customWidth="1"/>
    <col min="5856" max="5856" width="8" style="1" customWidth="1"/>
    <col min="5857" max="5857" width="9.6640625" style="1" customWidth="1"/>
    <col min="5858" max="5858" width="8.5" style="1" customWidth="1"/>
    <col min="5859" max="6096" width="9" style="1"/>
    <col min="6097" max="6097" width="6.6640625" style="1" customWidth="1"/>
    <col min="6098" max="6098" width="6.33203125" style="1" customWidth="1"/>
    <col min="6099" max="6102" width="8" style="1" customWidth="1"/>
    <col min="6103" max="6103" width="7.5" style="1" customWidth="1"/>
    <col min="6104" max="6105" width="8" style="1" customWidth="1"/>
    <col min="6106" max="6107" width="7.6640625" style="1" customWidth="1"/>
    <col min="6108" max="6108" width="9.6640625" style="1" customWidth="1"/>
    <col min="6109" max="6109" width="8.5" style="1" customWidth="1"/>
    <col min="6110" max="6110" width="7.6640625" style="1" customWidth="1"/>
    <col min="6111" max="6111" width="6.33203125" style="1" customWidth="1"/>
    <col min="6112" max="6112" width="8" style="1" customWidth="1"/>
    <col min="6113" max="6113" width="9.6640625" style="1" customWidth="1"/>
    <col min="6114" max="6114" width="8.5" style="1" customWidth="1"/>
    <col min="6115" max="6352" width="9" style="1"/>
    <col min="6353" max="6353" width="6.6640625" style="1" customWidth="1"/>
    <col min="6354" max="6354" width="6.33203125" style="1" customWidth="1"/>
    <col min="6355" max="6358" width="8" style="1" customWidth="1"/>
    <col min="6359" max="6359" width="7.5" style="1" customWidth="1"/>
    <col min="6360" max="6361" width="8" style="1" customWidth="1"/>
    <col min="6362" max="6363" width="7.6640625" style="1" customWidth="1"/>
    <col min="6364" max="6364" width="9.6640625" style="1" customWidth="1"/>
    <col min="6365" max="6365" width="8.5" style="1" customWidth="1"/>
    <col min="6366" max="6366" width="7.6640625" style="1" customWidth="1"/>
    <col min="6367" max="6367" width="6.33203125" style="1" customWidth="1"/>
    <col min="6368" max="6368" width="8" style="1" customWidth="1"/>
    <col min="6369" max="6369" width="9.6640625" style="1" customWidth="1"/>
    <col min="6370" max="6370" width="8.5" style="1" customWidth="1"/>
    <col min="6371" max="6608" width="9" style="1"/>
    <col min="6609" max="6609" width="6.6640625" style="1" customWidth="1"/>
    <col min="6610" max="6610" width="6.33203125" style="1" customWidth="1"/>
    <col min="6611" max="6614" width="8" style="1" customWidth="1"/>
    <col min="6615" max="6615" width="7.5" style="1" customWidth="1"/>
    <col min="6616" max="6617" width="8" style="1" customWidth="1"/>
    <col min="6618" max="6619" width="7.6640625" style="1" customWidth="1"/>
    <col min="6620" max="6620" width="9.6640625" style="1" customWidth="1"/>
    <col min="6621" max="6621" width="8.5" style="1" customWidth="1"/>
    <col min="6622" max="6622" width="7.6640625" style="1" customWidth="1"/>
    <col min="6623" max="6623" width="6.33203125" style="1" customWidth="1"/>
    <col min="6624" max="6624" width="8" style="1" customWidth="1"/>
    <col min="6625" max="6625" width="9.6640625" style="1" customWidth="1"/>
    <col min="6626" max="6626" width="8.5" style="1" customWidth="1"/>
    <col min="6627" max="6864" width="9" style="1"/>
    <col min="6865" max="6865" width="6.6640625" style="1" customWidth="1"/>
    <col min="6866" max="6866" width="6.33203125" style="1" customWidth="1"/>
    <col min="6867" max="6870" width="8" style="1" customWidth="1"/>
    <col min="6871" max="6871" width="7.5" style="1" customWidth="1"/>
    <col min="6872" max="6873" width="8" style="1" customWidth="1"/>
    <col min="6874" max="6875" width="7.6640625" style="1" customWidth="1"/>
    <col min="6876" max="6876" width="9.6640625" style="1" customWidth="1"/>
    <col min="6877" max="6877" width="8.5" style="1" customWidth="1"/>
    <col min="6878" max="6878" width="7.6640625" style="1" customWidth="1"/>
    <col min="6879" max="6879" width="6.33203125" style="1" customWidth="1"/>
    <col min="6880" max="6880" width="8" style="1" customWidth="1"/>
    <col min="6881" max="6881" width="9.6640625" style="1" customWidth="1"/>
    <col min="6882" max="6882" width="8.5" style="1" customWidth="1"/>
    <col min="6883" max="7120" width="9" style="1"/>
    <col min="7121" max="7121" width="6.6640625" style="1" customWidth="1"/>
    <col min="7122" max="7122" width="6.33203125" style="1" customWidth="1"/>
    <col min="7123" max="7126" width="8" style="1" customWidth="1"/>
    <col min="7127" max="7127" width="7.5" style="1" customWidth="1"/>
    <col min="7128" max="7129" width="8" style="1" customWidth="1"/>
    <col min="7130" max="7131" width="7.6640625" style="1" customWidth="1"/>
    <col min="7132" max="7132" width="9.6640625" style="1" customWidth="1"/>
    <col min="7133" max="7133" width="8.5" style="1" customWidth="1"/>
    <col min="7134" max="7134" width="7.6640625" style="1" customWidth="1"/>
    <col min="7135" max="7135" width="6.33203125" style="1" customWidth="1"/>
    <col min="7136" max="7136" width="8" style="1" customWidth="1"/>
    <col min="7137" max="7137" width="9.6640625" style="1" customWidth="1"/>
    <col min="7138" max="7138" width="8.5" style="1" customWidth="1"/>
    <col min="7139" max="7376" width="9" style="1"/>
    <col min="7377" max="7377" width="6.6640625" style="1" customWidth="1"/>
    <col min="7378" max="7378" width="6.33203125" style="1" customWidth="1"/>
    <col min="7379" max="7382" width="8" style="1" customWidth="1"/>
    <col min="7383" max="7383" width="7.5" style="1" customWidth="1"/>
    <col min="7384" max="7385" width="8" style="1" customWidth="1"/>
    <col min="7386" max="7387" width="7.6640625" style="1" customWidth="1"/>
    <col min="7388" max="7388" width="9.6640625" style="1" customWidth="1"/>
    <col min="7389" max="7389" width="8.5" style="1" customWidth="1"/>
    <col min="7390" max="7390" width="7.6640625" style="1" customWidth="1"/>
    <col min="7391" max="7391" width="6.33203125" style="1" customWidth="1"/>
    <col min="7392" max="7392" width="8" style="1" customWidth="1"/>
    <col min="7393" max="7393" width="9.6640625" style="1" customWidth="1"/>
    <col min="7394" max="7394" width="8.5" style="1" customWidth="1"/>
    <col min="7395" max="7632" width="9" style="1"/>
    <col min="7633" max="7633" width="6.6640625" style="1" customWidth="1"/>
    <col min="7634" max="7634" width="6.33203125" style="1" customWidth="1"/>
    <col min="7635" max="7638" width="8" style="1" customWidth="1"/>
    <col min="7639" max="7639" width="7.5" style="1" customWidth="1"/>
    <col min="7640" max="7641" width="8" style="1" customWidth="1"/>
    <col min="7642" max="7643" width="7.6640625" style="1" customWidth="1"/>
    <col min="7644" max="7644" width="9.6640625" style="1" customWidth="1"/>
    <col min="7645" max="7645" width="8.5" style="1" customWidth="1"/>
    <col min="7646" max="7646" width="7.6640625" style="1" customWidth="1"/>
    <col min="7647" max="7647" width="6.33203125" style="1" customWidth="1"/>
    <col min="7648" max="7648" width="8" style="1" customWidth="1"/>
    <col min="7649" max="7649" width="9.6640625" style="1" customWidth="1"/>
    <col min="7650" max="7650" width="8.5" style="1" customWidth="1"/>
    <col min="7651" max="7888" width="9" style="1"/>
    <col min="7889" max="7889" width="6.6640625" style="1" customWidth="1"/>
    <col min="7890" max="7890" width="6.33203125" style="1" customWidth="1"/>
    <col min="7891" max="7894" width="8" style="1" customWidth="1"/>
    <col min="7895" max="7895" width="7.5" style="1" customWidth="1"/>
    <col min="7896" max="7897" width="8" style="1" customWidth="1"/>
    <col min="7898" max="7899" width="7.6640625" style="1" customWidth="1"/>
    <col min="7900" max="7900" width="9.6640625" style="1" customWidth="1"/>
    <col min="7901" max="7901" width="8.5" style="1" customWidth="1"/>
    <col min="7902" max="7902" width="7.6640625" style="1" customWidth="1"/>
    <col min="7903" max="7903" width="6.33203125" style="1" customWidth="1"/>
    <col min="7904" max="7904" width="8" style="1" customWidth="1"/>
    <col min="7905" max="7905" width="9.6640625" style="1" customWidth="1"/>
    <col min="7906" max="7906" width="8.5" style="1" customWidth="1"/>
    <col min="7907" max="8144" width="9" style="1"/>
    <col min="8145" max="8145" width="6.6640625" style="1" customWidth="1"/>
    <col min="8146" max="8146" width="6.33203125" style="1" customWidth="1"/>
    <col min="8147" max="8150" width="8" style="1" customWidth="1"/>
    <col min="8151" max="8151" width="7.5" style="1" customWidth="1"/>
    <col min="8152" max="8153" width="8" style="1" customWidth="1"/>
    <col min="8154" max="8155" width="7.6640625" style="1" customWidth="1"/>
    <col min="8156" max="8156" width="9.6640625" style="1" customWidth="1"/>
    <col min="8157" max="8157" width="8.5" style="1" customWidth="1"/>
    <col min="8158" max="8158" width="7.6640625" style="1" customWidth="1"/>
    <col min="8159" max="8159" width="6.33203125" style="1" customWidth="1"/>
    <col min="8160" max="8160" width="8" style="1" customWidth="1"/>
    <col min="8161" max="8161" width="9.6640625" style="1" customWidth="1"/>
    <col min="8162" max="8162" width="8.5" style="1" customWidth="1"/>
    <col min="8163" max="8400" width="9" style="1"/>
    <col min="8401" max="8401" width="6.6640625" style="1" customWidth="1"/>
    <col min="8402" max="8402" width="6.33203125" style="1" customWidth="1"/>
    <col min="8403" max="8406" width="8" style="1" customWidth="1"/>
    <col min="8407" max="8407" width="7.5" style="1" customWidth="1"/>
    <col min="8408" max="8409" width="8" style="1" customWidth="1"/>
    <col min="8410" max="8411" width="7.6640625" style="1" customWidth="1"/>
    <col min="8412" max="8412" width="9.6640625" style="1" customWidth="1"/>
    <col min="8413" max="8413" width="8.5" style="1" customWidth="1"/>
    <col min="8414" max="8414" width="7.6640625" style="1" customWidth="1"/>
    <col min="8415" max="8415" width="6.33203125" style="1" customWidth="1"/>
    <col min="8416" max="8416" width="8" style="1" customWidth="1"/>
    <col min="8417" max="8417" width="9.6640625" style="1" customWidth="1"/>
    <col min="8418" max="8418" width="8.5" style="1" customWidth="1"/>
    <col min="8419" max="8656" width="9" style="1"/>
    <col min="8657" max="8657" width="6.6640625" style="1" customWidth="1"/>
    <col min="8658" max="8658" width="6.33203125" style="1" customWidth="1"/>
    <col min="8659" max="8662" width="8" style="1" customWidth="1"/>
    <col min="8663" max="8663" width="7.5" style="1" customWidth="1"/>
    <col min="8664" max="8665" width="8" style="1" customWidth="1"/>
    <col min="8666" max="8667" width="7.6640625" style="1" customWidth="1"/>
    <col min="8668" max="8668" width="9.6640625" style="1" customWidth="1"/>
    <col min="8669" max="8669" width="8.5" style="1" customWidth="1"/>
    <col min="8670" max="8670" width="7.6640625" style="1" customWidth="1"/>
    <col min="8671" max="8671" width="6.33203125" style="1" customWidth="1"/>
    <col min="8672" max="8672" width="8" style="1" customWidth="1"/>
    <col min="8673" max="8673" width="9.6640625" style="1" customWidth="1"/>
    <col min="8674" max="8674" width="8.5" style="1" customWidth="1"/>
    <col min="8675" max="8912" width="9" style="1"/>
    <col min="8913" max="8913" width="6.6640625" style="1" customWidth="1"/>
    <col min="8914" max="8914" width="6.33203125" style="1" customWidth="1"/>
    <col min="8915" max="8918" width="8" style="1" customWidth="1"/>
    <col min="8919" max="8919" width="7.5" style="1" customWidth="1"/>
    <col min="8920" max="8921" width="8" style="1" customWidth="1"/>
    <col min="8922" max="8923" width="7.6640625" style="1" customWidth="1"/>
    <col min="8924" max="8924" width="9.6640625" style="1" customWidth="1"/>
    <col min="8925" max="8925" width="8.5" style="1" customWidth="1"/>
    <col min="8926" max="8926" width="7.6640625" style="1" customWidth="1"/>
    <col min="8927" max="8927" width="6.33203125" style="1" customWidth="1"/>
    <col min="8928" max="8928" width="8" style="1" customWidth="1"/>
    <col min="8929" max="8929" width="9.6640625" style="1" customWidth="1"/>
    <col min="8930" max="8930" width="8.5" style="1" customWidth="1"/>
    <col min="8931" max="9168" width="9" style="1"/>
    <col min="9169" max="9169" width="6.6640625" style="1" customWidth="1"/>
    <col min="9170" max="9170" width="6.33203125" style="1" customWidth="1"/>
    <col min="9171" max="9174" width="8" style="1" customWidth="1"/>
    <col min="9175" max="9175" width="7.5" style="1" customWidth="1"/>
    <col min="9176" max="9177" width="8" style="1" customWidth="1"/>
    <col min="9178" max="9179" width="7.6640625" style="1" customWidth="1"/>
    <col min="9180" max="9180" width="9.6640625" style="1" customWidth="1"/>
    <col min="9181" max="9181" width="8.5" style="1" customWidth="1"/>
    <col min="9182" max="9182" width="7.6640625" style="1" customWidth="1"/>
    <col min="9183" max="9183" width="6.33203125" style="1" customWidth="1"/>
    <col min="9184" max="9184" width="8" style="1" customWidth="1"/>
    <col min="9185" max="9185" width="9.6640625" style="1" customWidth="1"/>
    <col min="9186" max="9186" width="8.5" style="1" customWidth="1"/>
    <col min="9187" max="9424" width="9" style="1"/>
    <col min="9425" max="9425" width="6.6640625" style="1" customWidth="1"/>
    <col min="9426" max="9426" width="6.33203125" style="1" customWidth="1"/>
    <col min="9427" max="9430" width="8" style="1" customWidth="1"/>
    <col min="9431" max="9431" width="7.5" style="1" customWidth="1"/>
    <col min="9432" max="9433" width="8" style="1" customWidth="1"/>
    <col min="9434" max="9435" width="7.6640625" style="1" customWidth="1"/>
    <col min="9436" max="9436" width="9.6640625" style="1" customWidth="1"/>
    <col min="9437" max="9437" width="8.5" style="1" customWidth="1"/>
    <col min="9438" max="9438" width="7.6640625" style="1" customWidth="1"/>
    <col min="9439" max="9439" width="6.33203125" style="1" customWidth="1"/>
    <col min="9440" max="9440" width="8" style="1" customWidth="1"/>
    <col min="9441" max="9441" width="9.6640625" style="1" customWidth="1"/>
    <col min="9442" max="9442" width="8.5" style="1" customWidth="1"/>
    <col min="9443" max="9680" width="9" style="1"/>
    <col min="9681" max="9681" width="6.6640625" style="1" customWidth="1"/>
    <col min="9682" max="9682" width="6.33203125" style="1" customWidth="1"/>
    <col min="9683" max="9686" width="8" style="1" customWidth="1"/>
    <col min="9687" max="9687" width="7.5" style="1" customWidth="1"/>
    <col min="9688" max="9689" width="8" style="1" customWidth="1"/>
    <col min="9690" max="9691" width="7.6640625" style="1" customWidth="1"/>
    <col min="9692" max="9692" width="9.6640625" style="1" customWidth="1"/>
    <col min="9693" max="9693" width="8.5" style="1" customWidth="1"/>
    <col min="9694" max="9694" width="7.6640625" style="1" customWidth="1"/>
    <col min="9695" max="9695" width="6.33203125" style="1" customWidth="1"/>
    <col min="9696" max="9696" width="8" style="1" customWidth="1"/>
    <col min="9697" max="9697" width="9.6640625" style="1" customWidth="1"/>
    <col min="9698" max="9698" width="8.5" style="1" customWidth="1"/>
    <col min="9699" max="9936" width="9" style="1"/>
    <col min="9937" max="9937" width="6.6640625" style="1" customWidth="1"/>
    <col min="9938" max="9938" width="6.33203125" style="1" customWidth="1"/>
    <col min="9939" max="9942" width="8" style="1" customWidth="1"/>
    <col min="9943" max="9943" width="7.5" style="1" customWidth="1"/>
    <col min="9944" max="9945" width="8" style="1" customWidth="1"/>
    <col min="9946" max="9947" width="7.6640625" style="1" customWidth="1"/>
    <col min="9948" max="9948" width="9.6640625" style="1" customWidth="1"/>
    <col min="9949" max="9949" width="8.5" style="1" customWidth="1"/>
    <col min="9950" max="9950" width="7.6640625" style="1" customWidth="1"/>
    <col min="9951" max="9951" width="6.33203125" style="1" customWidth="1"/>
    <col min="9952" max="9952" width="8" style="1" customWidth="1"/>
    <col min="9953" max="9953" width="9.6640625" style="1" customWidth="1"/>
    <col min="9954" max="9954" width="8.5" style="1" customWidth="1"/>
    <col min="9955" max="10192" width="9" style="1"/>
    <col min="10193" max="10193" width="6.6640625" style="1" customWidth="1"/>
    <col min="10194" max="10194" width="6.33203125" style="1" customWidth="1"/>
    <col min="10195" max="10198" width="8" style="1" customWidth="1"/>
    <col min="10199" max="10199" width="7.5" style="1" customWidth="1"/>
    <col min="10200" max="10201" width="8" style="1" customWidth="1"/>
    <col min="10202" max="10203" width="7.6640625" style="1" customWidth="1"/>
    <col min="10204" max="10204" width="9.6640625" style="1" customWidth="1"/>
    <col min="10205" max="10205" width="8.5" style="1" customWidth="1"/>
    <col min="10206" max="10206" width="7.6640625" style="1" customWidth="1"/>
    <col min="10207" max="10207" width="6.33203125" style="1" customWidth="1"/>
    <col min="10208" max="10208" width="8" style="1" customWidth="1"/>
    <col min="10209" max="10209" width="9.6640625" style="1" customWidth="1"/>
    <col min="10210" max="10210" width="8.5" style="1" customWidth="1"/>
    <col min="10211" max="10448" width="9" style="1"/>
    <col min="10449" max="10449" width="6.6640625" style="1" customWidth="1"/>
    <col min="10450" max="10450" width="6.33203125" style="1" customWidth="1"/>
    <col min="10451" max="10454" width="8" style="1" customWidth="1"/>
    <col min="10455" max="10455" width="7.5" style="1" customWidth="1"/>
    <col min="10456" max="10457" width="8" style="1" customWidth="1"/>
    <col min="10458" max="10459" width="7.6640625" style="1" customWidth="1"/>
    <col min="10460" max="10460" width="9.6640625" style="1" customWidth="1"/>
    <col min="10461" max="10461" width="8.5" style="1" customWidth="1"/>
    <col min="10462" max="10462" width="7.6640625" style="1" customWidth="1"/>
    <col min="10463" max="10463" width="6.33203125" style="1" customWidth="1"/>
    <col min="10464" max="10464" width="8" style="1" customWidth="1"/>
    <col min="10465" max="10465" width="9.6640625" style="1" customWidth="1"/>
    <col min="10466" max="10466" width="8.5" style="1" customWidth="1"/>
    <col min="10467" max="10704" width="9" style="1"/>
    <col min="10705" max="10705" width="6.6640625" style="1" customWidth="1"/>
    <col min="10706" max="10706" width="6.33203125" style="1" customWidth="1"/>
    <col min="10707" max="10710" width="8" style="1" customWidth="1"/>
    <col min="10711" max="10711" width="7.5" style="1" customWidth="1"/>
    <col min="10712" max="10713" width="8" style="1" customWidth="1"/>
    <col min="10714" max="10715" width="7.6640625" style="1" customWidth="1"/>
    <col min="10716" max="10716" width="9.6640625" style="1" customWidth="1"/>
    <col min="10717" max="10717" width="8.5" style="1" customWidth="1"/>
    <col min="10718" max="10718" width="7.6640625" style="1" customWidth="1"/>
    <col min="10719" max="10719" width="6.33203125" style="1" customWidth="1"/>
    <col min="10720" max="10720" width="8" style="1" customWidth="1"/>
    <col min="10721" max="10721" width="9.6640625" style="1" customWidth="1"/>
    <col min="10722" max="10722" width="8.5" style="1" customWidth="1"/>
    <col min="10723" max="10960" width="9" style="1"/>
    <col min="10961" max="10961" width="6.6640625" style="1" customWidth="1"/>
    <col min="10962" max="10962" width="6.33203125" style="1" customWidth="1"/>
    <col min="10963" max="10966" width="8" style="1" customWidth="1"/>
    <col min="10967" max="10967" width="7.5" style="1" customWidth="1"/>
    <col min="10968" max="10969" width="8" style="1" customWidth="1"/>
    <col min="10970" max="10971" width="7.6640625" style="1" customWidth="1"/>
    <col min="10972" max="10972" width="9.6640625" style="1" customWidth="1"/>
    <col min="10973" max="10973" width="8.5" style="1" customWidth="1"/>
    <col min="10974" max="10974" width="7.6640625" style="1" customWidth="1"/>
    <col min="10975" max="10975" width="6.33203125" style="1" customWidth="1"/>
    <col min="10976" max="10976" width="8" style="1" customWidth="1"/>
    <col min="10977" max="10977" width="9.6640625" style="1" customWidth="1"/>
    <col min="10978" max="10978" width="8.5" style="1" customWidth="1"/>
    <col min="10979" max="11216" width="9" style="1"/>
    <col min="11217" max="11217" width="6.6640625" style="1" customWidth="1"/>
    <col min="11218" max="11218" width="6.33203125" style="1" customWidth="1"/>
    <col min="11219" max="11222" width="8" style="1" customWidth="1"/>
    <col min="11223" max="11223" width="7.5" style="1" customWidth="1"/>
    <col min="11224" max="11225" width="8" style="1" customWidth="1"/>
    <col min="11226" max="11227" width="7.6640625" style="1" customWidth="1"/>
    <col min="11228" max="11228" width="9.6640625" style="1" customWidth="1"/>
    <col min="11229" max="11229" width="8.5" style="1" customWidth="1"/>
    <col min="11230" max="11230" width="7.6640625" style="1" customWidth="1"/>
    <col min="11231" max="11231" width="6.33203125" style="1" customWidth="1"/>
    <col min="11232" max="11232" width="8" style="1" customWidth="1"/>
    <col min="11233" max="11233" width="9.6640625" style="1" customWidth="1"/>
    <col min="11234" max="11234" width="8.5" style="1" customWidth="1"/>
    <col min="11235" max="11472" width="9" style="1"/>
    <col min="11473" max="11473" width="6.6640625" style="1" customWidth="1"/>
    <col min="11474" max="11474" width="6.33203125" style="1" customWidth="1"/>
    <col min="11475" max="11478" width="8" style="1" customWidth="1"/>
    <col min="11479" max="11479" width="7.5" style="1" customWidth="1"/>
    <col min="11480" max="11481" width="8" style="1" customWidth="1"/>
    <col min="11482" max="11483" width="7.6640625" style="1" customWidth="1"/>
    <col min="11484" max="11484" width="9.6640625" style="1" customWidth="1"/>
    <col min="11485" max="11485" width="8.5" style="1" customWidth="1"/>
    <col min="11486" max="11486" width="7.6640625" style="1" customWidth="1"/>
    <col min="11487" max="11487" width="6.33203125" style="1" customWidth="1"/>
    <col min="11488" max="11488" width="8" style="1" customWidth="1"/>
    <col min="11489" max="11489" width="9.6640625" style="1" customWidth="1"/>
    <col min="11490" max="11490" width="8.5" style="1" customWidth="1"/>
    <col min="11491" max="11728" width="9" style="1"/>
    <col min="11729" max="11729" width="6.6640625" style="1" customWidth="1"/>
    <col min="11730" max="11730" width="6.33203125" style="1" customWidth="1"/>
    <col min="11731" max="11734" width="8" style="1" customWidth="1"/>
    <col min="11735" max="11735" width="7.5" style="1" customWidth="1"/>
    <col min="11736" max="11737" width="8" style="1" customWidth="1"/>
    <col min="11738" max="11739" width="7.6640625" style="1" customWidth="1"/>
    <col min="11740" max="11740" width="9.6640625" style="1" customWidth="1"/>
    <col min="11741" max="11741" width="8.5" style="1" customWidth="1"/>
    <col min="11742" max="11742" width="7.6640625" style="1" customWidth="1"/>
    <col min="11743" max="11743" width="6.33203125" style="1" customWidth="1"/>
    <col min="11744" max="11744" width="8" style="1" customWidth="1"/>
    <col min="11745" max="11745" width="9.6640625" style="1" customWidth="1"/>
    <col min="11746" max="11746" width="8.5" style="1" customWidth="1"/>
    <col min="11747" max="11984" width="9" style="1"/>
    <col min="11985" max="11985" width="6.6640625" style="1" customWidth="1"/>
    <col min="11986" max="11986" width="6.33203125" style="1" customWidth="1"/>
    <col min="11987" max="11990" width="8" style="1" customWidth="1"/>
    <col min="11991" max="11991" width="7.5" style="1" customWidth="1"/>
    <col min="11992" max="11993" width="8" style="1" customWidth="1"/>
    <col min="11994" max="11995" width="7.6640625" style="1" customWidth="1"/>
    <col min="11996" max="11996" width="9.6640625" style="1" customWidth="1"/>
    <col min="11997" max="11997" width="8.5" style="1" customWidth="1"/>
    <col min="11998" max="11998" width="7.6640625" style="1" customWidth="1"/>
    <col min="11999" max="11999" width="6.33203125" style="1" customWidth="1"/>
    <col min="12000" max="12000" width="8" style="1" customWidth="1"/>
    <col min="12001" max="12001" width="9.6640625" style="1" customWidth="1"/>
    <col min="12002" max="12002" width="8.5" style="1" customWidth="1"/>
    <col min="12003" max="12240" width="9" style="1"/>
    <col min="12241" max="12241" width="6.6640625" style="1" customWidth="1"/>
    <col min="12242" max="12242" width="6.33203125" style="1" customWidth="1"/>
    <col min="12243" max="12246" width="8" style="1" customWidth="1"/>
    <col min="12247" max="12247" width="7.5" style="1" customWidth="1"/>
    <col min="12248" max="12249" width="8" style="1" customWidth="1"/>
    <col min="12250" max="12251" width="7.6640625" style="1" customWidth="1"/>
    <col min="12252" max="12252" width="9.6640625" style="1" customWidth="1"/>
    <col min="12253" max="12253" width="8.5" style="1" customWidth="1"/>
    <col min="12254" max="12254" width="7.6640625" style="1" customWidth="1"/>
    <col min="12255" max="12255" width="6.33203125" style="1" customWidth="1"/>
    <col min="12256" max="12256" width="8" style="1" customWidth="1"/>
    <col min="12257" max="12257" width="9.6640625" style="1" customWidth="1"/>
    <col min="12258" max="12258" width="8.5" style="1" customWidth="1"/>
    <col min="12259" max="12496" width="9" style="1"/>
    <col min="12497" max="12497" width="6.6640625" style="1" customWidth="1"/>
    <col min="12498" max="12498" width="6.33203125" style="1" customWidth="1"/>
    <col min="12499" max="12502" width="8" style="1" customWidth="1"/>
    <col min="12503" max="12503" width="7.5" style="1" customWidth="1"/>
    <col min="12504" max="12505" width="8" style="1" customWidth="1"/>
    <col min="12506" max="12507" width="7.6640625" style="1" customWidth="1"/>
    <col min="12508" max="12508" width="9.6640625" style="1" customWidth="1"/>
    <col min="12509" max="12509" width="8.5" style="1" customWidth="1"/>
    <col min="12510" max="12510" width="7.6640625" style="1" customWidth="1"/>
    <col min="12511" max="12511" width="6.33203125" style="1" customWidth="1"/>
    <col min="12512" max="12512" width="8" style="1" customWidth="1"/>
    <col min="12513" max="12513" width="9.6640625" style="1" customWidth="1"/>
    <col min="12514" max="12514" width="8.5" style="1" customWidth="1"/>
    <col min="12515" max="12752" width="9" style="1"/>
    <col min="12753" max="12753" width="6.6640625" style="1" customWidth="1"/>
    <col min="12754" max="12754" width="6.33203125" style="1" customWidth="1"/>
    <col min="12755" max="12758" width="8" style="1" customWidth="1"/>
    <col min="12759" max="12759" width="7.5" style="1" customWidth="1"/>
    <col min="12760" max="12761" width="8" style="1" customWidth="1"/>
    <col min="12762" max="12763" width="7.6640625" style="1" customWidth="1"/>
    <col min="12764" max="12764" width="9.6640625" style="1" customWidth="1"/>
    <col min="12765" max="12765" width="8.5" style="1" customWidth="1"/>
    <col min="12766" max="12766" width="7.6640625" style="1" customWidth="1"/>
    <col min="12767" max="12767" width="6.33203125" style="1" customWidth="1"/>
    <col min="12768" max="12768" width="8" style="1" customWidth="1"/>
    <col min="12769" max="12769" width="9.6640625" style="1" customWidth="1"/>
    <col min="12770" max="12770" width="8.5" style="1" customWidth="1"/>
    <col min="12771" max="13008" width="9" style="1"/>
    <col min="13009" max="13009" width="6.6640625" style="1" customWidth="1"/>
    <col min="13010" max="13010" width="6.33203125" style="1" customWidth="1"/>
    <col min="13011" max="13014" width="8" style="1" customWidth="1"/>
    <col min="13015" max="13015" width="7.5" style="1" customWidth="1"/>
    <col min="13016" max="13017" width="8" style="1" customWidth="1"/>
    <col min="13018" max="13019" width="7.6640625" style="1" customWidth="1"/>
    <col min="13020" max="13020" width="9.6640625" style="1" customWidth="1"/>
    <col min="13021" max="13021" width="8.5" style="1" customWidth="1"/>
    <col min="13022" max="13022" width="7.6640625" style="1" customWidth="1"/>
    <col min="13023" max="13023" width="6.33203125" style="1" customWidth="1"/>
    <col min="13024" max="13024" width="8" style="1" customWidth="1"/>
    <col min="13025" max="13025" width="9.6640625" style="1" customWidth="1"/>
    <col min="13026" max="13026" width="8.5" style="1" customWidth="1"/>
    <col min="13027" max="13264" width="9" style="1"/>
    <col min="13265" max="13265" width="6.6640625" style="1" customWidth="1"/>
    <col min="13266" max="13266" width="6.33203125" style="1" customWidth="1"/>
    <col min="13267" max="13270" width="8" style="1" customWidth="1"/>
    <col min="13271" max="13271" width="7.5" style="1" customWidth="1"/>
    <col min="13272" max="13273" width="8" style="1" customWidth="1"/>
    <col min="13274" max="13275" width="7.6640625" style="1" customWidth="1"/>
    <col min="13276" max="13276" width="9.6640625" style="1" customWidth="1"/>
    <col min="13277" max="13277" width="8.5" style="1" customWidth="1"/>
    <col min="13278" max="13278" width="7.6640625" style="1" customWidth="1"/>
    <col min="13279" max="13279" width="6.33203125" style="1" customWidth="1"/>
    <col min="13280" max="13280" width="8" style="1" customWidth="1"/>
    <col min="13281" max="13281" width="9.6640625" style="1" customWidth="1"/>
    <col min="13282" max="13282" width="8.5" style="1" customWidth="1"/>
    <col min="13283" max="13520" width="9" style="1"/>
    <col min="13521" max="13521" width="6.6640625" style="1" customWidth="1"/>
    <col min="13522" max="13522" width="6.33203125" style="1" customWidth="1"/>
    <col min="13523" max="13526" width="8" style="1" customWidth="1"/>
    <col min="13527" max="13527" width="7.5" style="1" customWidth="1"/>
    <col min="13528" max="13529" width="8" style="1" customWidth="1"/>
    <col min="13530" max="13531" width="7.6640625" style="1" customWidth="1"/>
    <col min="13532" max="13532" width="9.6640625" style="1" customWidth="1"/>
    <col min="13533" max="13533" width="8.5" style="1" customWidth="1"/>
    <col min="13534" max="13534" width="7.6640625" style="1" customWidth="1"/>
    <col min="13535" max="13535" width="6.33203125" style="1" customWidth="1"/>
    <col min="13536" max="13536" width="8" style="1" customWidth="1"/>
    <col min="13537" max="13537" width="9.6640625" style="1" customWidth="1"/>
    <col min="13538" max="13538" width="8.5" style="1" customWidth="1"/>
    <col min="13539" max="13776" width="9" style="1"/>
    <col min="13777" max="13777" width="6.6640625" style="1" customWidth="1"/>
    <col min="13778" max="13778" width="6.33203125" style="1" customWidth="1"/>
    <col min="13779" max="13782" width="8" style="1" customWidth="1"/>
    <col min="13783" max="13783" width="7.5" style="1" customWidth="1"/>
    <col min="13784" max="13785" width="8" style="1" customWidth="1"/>
    <col min="13786" max="13787" width="7.6640625" style="1" customWidth="1"/>
    <col min="13788" max="13788" width="9.6640625" style="1" customWidth="1"/>
    <col min="13789" max="13789" width="8.5" style="1" customWidth="1"/>
    <col min="13790" max="13790" width="7.6640625" style="1" customWidth="1"/>
    <col min="13791" max="13791" width="6.33203125" style="1" customWidth="1"/>
    <col min="13792" max="13792" width="8" style="1" customWidth="1"/>
    <col min="13793" max="13793" width="9.6640625" style="1" customWidth="1"/>
    <col min="13794" max="13794" width="8.5" style="1" customWidth="1"/>
    <col min="13795" max="14032" width="9" style="1"/>
    <col min="14033" max="14033" width="6.6640625" style="1" customWidth="1"/>
    <col min="14034" max="14034" width="6.33203125" style="1" customWidth="1"/>
    <col min="14035" max="14038" width="8" style="1" customWidth="1"/>
    <col min="14039" max="14039" width="7.5" style="1" customWidth="1"/>
    <col min="14040" max="14041" width="8" style="1" customWidth="1"/>
    <col min="14042" max="14043" width="7.6640625" style="1" customWidth="1"/>
    <col min="14044" max="14044" width="9.6640625" style="1" customWidth="1"/>
    <col min="14045" max="14045" width="8.5" style="1" customWidth="1"/>
    <col min="14046" max="14046" width="7.6640625" style="1" customWidth="1"/>
    <col min="14047" max="14047" width="6.33203125" style="1" customWidth="1"/>
    <col min="14048" max="14048" width="8" style="1" customWidth="1"/>
    <col min="14049" max="14049" width="9.6640625" style="1" customWidth="1"/>
    <col min="14050" max="14050" width="8.5" style="1" customWidth="1"/>
    <col min="14051" max="14288" width="9" style="1"/>
    <col min="14289" max="14289" width="6.6640625" style="1" customWidth="1"/>
    <col min="14290" max="14290" width="6.33203125" style="1" customWidth="1"/>
    <col min="14291" max="14294" width="8" style="1" customWidth="1"/>
    <col min="14295" max="14295" width="7.5" style="1" customWidth="1"/>
    <col min="14296" max="14297" width="8" style="1" customWidth="1"/>
    <col min="14298" max="14299" width="7.6640625" style="1" customWidth="1"/>
    <col min="14300" max="14300" width="9.6640625" style="1" customWidth="1"/>
    <col min="14301" max="14301" width="8.5" style="1" customWidth="1"/>
    <col min="14302" max="14302" width="7.6640625" style="1" customWidth="1"/>
    <col min="14303" max="14303" width="6.33203125" style="1" customWidth="1"/>
    <col min="14304" max="14304" width="8" style="1" customWidth="1"/>
    <col min="14305" max="14305" width="9.6640625" style="1" customWidth="1"/>
    <col min="14306" max="14306" width="8.5" style="1" customWidth="1"/>
    <col min="14307" max="14544" width="9" style="1"/>
    <col min="14545" max="14545" width="6.6640625" style="1" customWidth="1"/>
    <col min="14546" max="14546" width="6.33203125" style="1" customWidth="1"/>
    <col min="14547" max="14550" width="8" style="1" customWidth="1"/>
    <col min="14551" max="14551" width="7.5" style="1" customWidth="1"/>
    <col min="14552" max="14553" width="8" style="1" customWidth="1"/>
    <col min="14554" max="14555" width="7.6640625" style="1" customWidth="1"/>
    <col min="14556" max="14556" width="9.6640625" style="1" customWidth="1"/>
    <col min="14557" max="14557" width="8.5" style="1" customWidth="1"/>
    <col min="14558" max="14558" width="7.6640625" style="1" customWidth="1"/>
    <col min="14559" max="14559" width="6.33203125" style="1" customWidth="1"/>
    <col min="14560" max="14560" width="8" style="1" customWidth="1"/>
    <col min="14561" max="14561" width="9.6640625" style="1" customWidth="1"/>
    <col min="14562" max="14562" width="8.5" style="1" customWidth="1"/>
    <col min="14563" max="14800" width="9" style="1"/>
    <col min="14801" max="14801" width="6.6640625" style="1" customWidth="1"/>
    <col min="14802" max="14802" width="6.33203125" style="1" customWidth="1"/>
    <col min="14803" max="14806" width="8" style="1" customWidth="1"/>
    <col min="14807" max="14807" width="7.5" style="1" customWidth="1"/>
    <col min="14808" max="14809" width="8" style="1" customWidth="1"/>
    <col min="14810" max="14811" width="7.6640625" style="1" customWidth="1"/>
    <col min="14812" max="14812" width="9.6640625" style="1" customWidth="1"/>
    <col min="14813" max="14813" width="8.5" style="1" customWidth="1"/>
    <col min="14814" max="14814" width="7.6640625" style="1" customWidth="1"/>
    <col min="14815" max="14815" width="6.33203125" style="1" customWidth="1"/>
    <col min="14816" max="14816" width="8" style="1" customWidth="1"/>
    <col min="14817" max="14817" width="9.6640625" style="1" customWidth="1"/>
    <col min="14818" max="14818" width="8.5" style="1" customWidth="1"/>
    <col min="14819" max="15056" width="9" style="1"/>
    <col min="15057" max="15057" width="6.6640625" style="1" customWidth="1"/>
    <col min="15058" max="15058" width="6.33203125" style="1" customWidth="1"/>
    <col min="15059" max="15062" width="8" style="1" customWidth="1"/>
    <col min="15063" max="15063" width="7.5" style="1" customWidth="1"/>
    <col min="15064" max="15065" width="8" style="1" customWidth="1"/>
    <col min="15066" max="15067" width="7.6640625" style="1" customWidth="1"/>
    <col min="15068" max="15068" width="9.6640625" style="1" customWidth="1"/>
    <col min="15069" max="15069" width="8.5" style="1" customWidth="1"/>
    <col min="15070" max="15070" width="7.6640625" style="1" customWidth="1"/>
    <col min="15071" max="15071" width="6.33203125" style="1" customWidth="1"/>
    <col min="15072" max="15072" width="8" style="1" customWidth="1"/>
    <col min="15073" max="15073" width="9.6640625" style="1" customWidth="1"/>
    <col min="15074" max="15074" width="8.5" style="1" customWidth="1"/>
    <col min="15075" max="15312" width="9" style="1"/>
    <col min="15313" max="15313" width="6.6640625" style="1" customWidth="1"/>
    <col min="15314" max="15314" width="6.33203125" style="1" customWidth="1"/>
    <col min="15315" max="15318" width="8" style="1" customWidth="1"/>
    <col min="15319" max="15319" width="7.5" style="1" customWidth="1"/>
    <col min="15320" max="15321" width="8" style="1" customWidth="1"/>
    <col min="15322" max="15323" width="7.6640625" style="1" customWidth="1"/>
    <col min="15324" max="15324" width="9.6640625" style="1" customWidth="1"/>
    <col min="15325" max="15325" width="8.5" style="1" customWidth="1"/>
    <col min="15326" max="15326" width="7.6640625" style="1" customWidth="1"/>
    <col min="15327" max="15327" width="6.33203125" style="1" customWidth="1"/>
    <col min="15328" max="15328" width="8" style="1" customWidth="1"/>
    <col min="15329" max="15329" width="9.6640625" style="1" customWidth="1"/>
    <col min="15330" max="15330" width="8.5" style="1" customWidth="1"/>
    <col min="15331" max="15568" width="9" style="1"/>
    <col min="15569" max="15569" width="6.6640625" style="1" customWidth="1"/>
    <col min="15570" max="15570" width="6.33203125" style="1" customWidth="1"/>
    <col min="15571" max="15574" width="8" style="1" customWidth="1"/>
    <col min="15575" max="15575" width="7.5" style="1" customWidth="1"/>
    <col min="15576" max="15577" width="8" style="1" customWidth="1"/>
    <col min="15578" max="15579" width="7.6640625" style="1" customWidth="1"/>
    <col min="15580" max="15580" width="9.6640625" style="1" customWidth="1"/>
    <col min="15581" max="15581" width="8.5" style="1" customWidth="1"/>
    <col min="15582" max="15582" width="7.6640625" style="1" customWidth="1"/>
    <col min="15583" max="15583" width="6.33203125" style="1" customWidth="1"/>
    <col min="15584" max="15584" width="8" style="1" customWidth="1"/>
    <col min="15585" max="15585" width="9.6640625" style="1" customWidth="1"/>
    <col min="15586" max="15586" width="8.5" style="1" customWidth="1"/>
    <col min="15587" max="15824" width="9" style="1"/>
    <col min="15825" max="15825" width="6.6640625" style="1" customWidth="1"/>
    <col min="15826" max="15826" width="6.33203125" style="1" customWidth="1"/>
    <col min="15827" max="15830" width="8" style="1" customWidth="1"/>
    <col min="15831" max="15831" width="7.5" style="1" customWidth="1"/>
    <col min="15832" max="15833" width="8" style="1" customWidth="1"/>
    <col min="15834" max="15835" width="7.6640625" style="1" customWidth="1"/>
    <col min="15836" max="15836" width="9.6640625" style="1" customWidth="1"/>
    <col min="15837" max="15837" width="8.5" style="1" customWidth="1"/>
    <col min="15838" max="15838" width="7.6640625" style="1" customWidth="1"/>
    <col min="15839" max="15839" width="6.33203125" style="1" customWidth="1"/>
    <col min="15840" max="15840" width="8" style="1" customWidth="1"/>
    <col min="15841" max="15841" width="9.6640625" style="1" customWidth="1"/>
    <col min="15842" max="15842" width="8.5" style="1" customWidth="1"/>
    <col min="15843" max="16080" width="9" style="1"/>
    <col min="16081" max="16081" width="6.6640625" style="1" customWidth="1"/>
    <col min="16082" max="16082" width="6.33203125" style="1" customWidth="1"/>
    <col min="16083" max="16086" width="8" style="1" customWidth="1"/>
    <col min="16087" max="16087" width="7.5" style="1" customWidth="1"/>
    <col min="16088" max="16089" width="8" style="1" customWidth="1"/>
    <col min="16090" max="16091" width="7.6640625" style="1" customWidth="1"/>
    <col min="16092" max="16092" width="9.6640625" style="1" customWidth="1"/>
    <col min="16093" max="16093" width="8.5" style="1" customWidth="1"/>
    <col min="16094" max="16094" width="7.6640625" style="1" customWidth="1"/>
    <col min="16095" max="16095" width="6.33203125" style="1" customWidth="1"/>
    <col min="16096" max="16096" width="8" style="1" customWidth="1"/>
    <col min="16097" max="16097" width="9.6640625" style="1" customWidth="1"/>
    <col min="16098" max="16098" width="8.5" style="1" customWidth="1"/>
    <col min="16099" max="16384" width="9" style="1"/>
  </cols>
  <sheetData>
    <row r="1" spans="1:15" ht="33" customHeight="1">
      <c r="A1" s="21" t="s">
        <v>32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5" ht="18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O2" s="3" t="s">
        <v>0</v>
      </c>
    </row>
    <row r="3" spans="1:15" s="7" customFormat="1" ht="32">
      <c r="A3" s="4" t="s">
        <v>1</v>
      </c>
      <c r="B3" s="4" t="s">
        <v>2</v>
      </c>
      <c r="C3" s="5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6" t="s">
        <v>15</v>
      </c>
    </row>
    <row r="4" spans="1:15" ht="20.25" customHeight="1">
      <c r="A4" s="9" t="s">
        <v>16</v>
      </c>
      <c r="B4" s="8">
        <v>28333</v>
      </c>
      <c r="C4" s="8">
        <v>0</v>
      </c>
      <c r="D4" s="8">
        <v>3400</v>
      </c>
      <c r="E4" s="8">
        <v>600</v>
      </c>
      <c r="F4" s="8"/>
      <c r="G4" s="8">
        <f>SUM(B4:F4)</f>
        <v>32333</v>
      </c>
      <c r="H4" s="8">
        <v>-125.33</v>
      </c>
      <c r="I4" s="8">
        <v>-21</v>
      </c>
      <c r="J4" s="8">
        <v>-501.3</v>
      </c>
      <c r="K4" s="8">
        <v>-2005.2</v>
      </c>
      <c r="L4" s="8">
        <v>-3303</v>
      </c>
      <c r="M4" s="8">
        <v>0</v>
      </c>
      <c r="N4" s="8">
        <v>-23327.43</v>
      </c>
      <c r="O4" s="10">
        <v>3049.74</v>
      </c>
    </row>
    <row r="5" spans="1:15" ht="18" customHeight="1">
      <c r="A5" s="9" t="s">
        <v>16</v>
      </c>
      <c r="B5" s="8">
        <v>27083</v>
      </c>
      <c r="C5" s="8">
        <v>0</v>
      </c>
      <c r="D5" s="8">
        <v>3200</v>
      </c>
      <c r="E5" s="8">
        <v>500</v>
      </c>
      <c r="F5" s="8"/>
      <c r="G5" s="8">
        <f t="shared" ref="G5:G16" si="0">SUM(B5:F5)</f>
        <v>30783</v>
      </c>
      <c r="H5" s="8">
        <v>-125.33</v>
      </c>
      <c r="I5" s="8">
        <v>-21</v>
      </c>
      <c r="J5" s="8">
        <v>-501.3</v>
      </c>
      <c r="K5" s="8">
        <v>-2005.2</v>
      </c>
      <c r="L5" s="8">
        <v>-3294</v>
      </c>
      <c r="M5" s="8">
        <v>0</v>
      </c>
      <c r="N5" s="8">
        <v>-20157.23</v>
      </c>
      <c r="O5" s="10">
        <v>4678.9399999999996</v>
      </c>
    </row>
    <row r="6" spans="1:15" ht="18" customHeight="1">
      <c r="A6" s="9" t="s">
        <v>17</v>
      </c>
      <c r="B6" s="8">
        <v>10821.5</v>
      </c>
      <c r="C6" s="8">
        <v>10821.5</v>
      </c>
      <c r="D6" s="8">
        <v>0</v>
      </c>
      <c r="E6" s="8">
        <v>0</v>
      </c>
      <c r="F6" s="8"/>
      <c r="G6" s="8">
        <f t="shared" si="0"/>
        <v>21643</v>
      </c>
      <c r="H6" s="8">
        <v>-108.3</v>
      </c>
      <c r="I6" s="8">
        <v>-21</v>
      </c>
      <c r="J6" s="8">
        <v>-433.2</v>
      </c>
      <c r="K6" s="8">
        <v>-1732.8</v>
      </c>
      <c r="L6" s="8">
        <v>-2599</v>
      </c>
      <c r="M6" s="8">
        <v>0</v>
      </c>
      <c r="N6" s="8">
        <v>-352.46</v>
      </c>
      <c r="O6" s="10">
        <v>16396.240000000002</v>
      </c>
    </row>
    <row r="7" spans="1:15" ht="18" customHeight="1">
      <c r="A7" s="9" t="s">
        <v>17</v>
      </c>
      <c r="B7" s="8">
        <v>11246</v>
      </c>
      <c r="C7" s="8">
        <v>11246</v>
      </c>
      <c r="D7" s="8">
        <v>0</v>
      </c>
      <c r="E7" s="8">
        <v>0</v>
      </c>
      <c r="F7" s="8"/>
      <c r="G7" s="8">
        <f t="shared" si="0"/>
        <v>22492</v>
      </c>
      <c r="H7" s="8">
        <v>-112.55</v>
      </c>
      <c r="I7" s="8">
        <v>-21</v>
      </c>
      <c r="J7" s="8">
        <v>-450.18</v>
      </c>
      <c r="K7" s="8">
        <v>-1800.72</v>
      </c>
      <c r="L7" s="8">
        <v>-2701</v>
      </c>
      <c r="M7" s="8">
        <v>0</v>
      </c>
      <c r="N7" s="8">
        <v>-282.2</v>
      </c>
      <c r="O7" s="10">
        <v>17124.349999999999</v>
      </c>
    </row>
    <row r="8" spans="1:15" ht="18" customHeight="1">
      <c r="A8" s="9" t="s">
        <v>18</v>
      </c>
      <c r="B8" s="8">
        <v>6250</v>
      </c>
      <c r="C8" s="8">
        <v>6250</v>
      </c>
      <c r="D8" s="8">
        <v>0</v>
      </c>
      <c r="E8" s="8">
        <v>0</v>
      </c>
      <c r="F8" s="8"/>
      <c r="G8" s="8">
        <f t="shared" si="0"/>
        <v>12500</v>
      </c>
      <c r="H8" s="8">
        <v>-93.84</v>
      </c>
      <c r="I8" s="8">
        <v>-21</v>
      </c>
      <c r="J8" s="8">
        <v>-375.34</v>
      </c>
      <c r="K8" s="8">
        <v>-1501.36</v>
      </c>
      <c r="L8" s="8">
        <v>-2888</v>
      </c>
      <c r="M8" s="8">
        <v>-1443.78</v>
      </c>
      <c r="N8" s="8">
        <v>-202.36</v>
      </c>
      <c r="O8" s="10">
        <v>5974.32</v>
      </c>
    </row>
    <row r="9" spans="1:15" ht="18" customHeight="1">
      <c r="A9" s="9" t="s">
        <v>17</v>
      </c>
      <c r="B9" s="8">
        <v>12500</v>
      </c>
      <c r="C9" s="8">
        <v>12500</v>
      </c>
      <c r="D9" s="8">
        <v>0</v>
      </c>
      <c r="E9" s="8">
        <v>0</v>
      </c>
      <c r="F9" s="8"/>
      <c r="G9" s="8">
        <f t="shared" si="0"/>
        <v>25000</v>
      </c>
      <c r="H9" s="8">
        <v>-125.33</v>
      </c>
      <c r="I9" s="8">
        <v>-21</v>
      </c>
      <c r="J9" s="8">
        <v>-501.3</v>
      </c>
      <c r="K9" s="8">
        <v>-2005.2</v>
      </c>
      <c r="L9" s="8">
        <v>-3000</v>
      </c>
      <c r="M9" s="8">
        <v>0</v>
      </c>
      <c r="N9" s="8">
        <v>-340.42</v>
      </c>
      <c r="O9" s="10">
        <v>19006.75</v>
      </c>
    </row>
    <row r="10" spans="1:15" ht="18" customHeight="1">
      <c r="A10" s="9" t="s">
        <v>17</v>
      </c>
      <c r="B10" s="8">
        <v>9494</v>
      </c>
      <c r="C10" s="8">
        <v>9494</v>
      </c>
      <c r="D10" s="8">
        <v>0</v>
      </c>
      <c r="E10" s="8">
        <v>0</v>
      </c>
      <c r="F10" s="8"/>
      <c r="G10" s="8">
        <f t="shared" si="0"/>
        <v>18988</v>
      </c>
      <c r="H10" s="8">
        <v>-95.03</v>
      </c>
      <c r="I10" s="8">
        <v>-21</v>
      </c>
      <c r="J10" s="8">
        <v>-380.1</v>
      </c>
      <c r="K10" s="8">
        <v>-1520.4</v>
      </c>
      <c r="L10" s="8">
        <v>-2279</v>
      </c>
      <c r="M10" s="8">
        <v>0</v>
      </c>
      <c r="N10" s="8">
        <v>-95.77</v>
      </c>
      <c r="O10" s="10">
        <v>14596.7</v>
      </c>
    </row>
    <row r="11" spans="1:15" ht="18" customHeight="1">
      <c r="A11" s="9" t="s">
        <v>17</v>
      </c>
      <c r="B11" s="8">
        <v>11870.5</v>
      </c>
      <c r="C11" s="8">
        <v>11870.5</v>
      </c>
      <c r="D11" s="8">
        <v>0</v>
      </c>
      <c r="E11" s="8">
        <v>0</v>
      </c>
      <c r="F11" s="8"/>
      <c r="G11" s="8">
        <f t="shared" si="0"/>
        <v>23741</v>
      </c>
      <c r="H11" s="8">
        <v>-118.79</v>
      </c>
      <c r="I11" s="8">
        <v>-21</v>
      </c>
      <c r="J11" s="8">
        <v>-475.16</v>
      </c>
      <c r="K11" s="8">
        <v>-1900.64</v>
      </c>
      <c r="L11" s="8">
        <v>-2851</v>
      </c>
      <c r="M11" s="8">
        <v>0</v>
      </c>
      <c r="N11" s="8">
        <v>-401.23</v>
      </c>
      <c r="O11" s="10">
        <v>17973.18</v>
      </c>
    </row>
    <row r="12" spans="1:15" ht="18" customHeight="1">
      <c r="A12" s="9" t="s">
        <v>17</v>
      </c>
      <c r="B12" s="8">
        <v>11500</v>
      </c>
      <c r="C12" s="8">
        <v>11500</v>
      </c>
      <c r="D12" s="8">
        <v>0</v>
      </c>
      <c r="E12" s="8">
        <v>0</v>
      </c>
      <c r="F12" s="8"/>
      <c r="G12" s="8">
        <f t="shared" si="0"/>
        <v>23000</v>
      </c>
      <c r="H12" s="8">
        <v>-115.97</v>
      </c>
      <c r="I12" s="8">
        <v>-21</v>
      </c>
      <c r="J12" s="8">
        <v>-463.86</v>
      </c>
      <c r="K12" s="8">
        <v>-1855.44</v>
      </c>
      <c r="L12" s="8">
        <v>-2783</v>
      </c>
      <c r="M12" s="8">
        <v>0</v>
      </c>
      <c r="N12" s="8">
        <v>-307.82</v>
      </c>
      <c r="O12" s="10">
        <v>17452.91</v>
      </c>
    </row>
    <row r="13" spans="1:15" ht="18" customHeight="1">
      <c r="A13" s="9" t="s">
        <v>18</v>
      </c>
      <c r="B13" s="8">
        <v>5291.5</v>
      </c>
      <c r="C13" s="8">
        <v>5291.5</v>
      </c>
      <c r="D13" s="8">
        <v>0</v>
      </c>
      <c r="E13" s="8">
        <v>0</v>
      </c>
      <c r="F13" s="8"/>
      <c r="G13" s="8">
        <f t="shared" si="0"/>
        <v>10583</v>
      </c>
      <c r="H13" s="8">
        <v>-53</v>
      </c>
      <c r="I13" s="8">
        <v>-21</v>
      </c>
      <c r="J13" s="8">
        <v>-212</v>
      </c>
      <c r="K13" s="8">
        <v>-848</v>
      </c>
      <c r="L13" s="8">
        <v>-1272</v>
      </c>
      <c r="M13" s="8">
        <v>0</v>
      </c>
      <c r="N13" s="8">
        <v>-95.31</v>
      </c>
      <c r="O13" s="10">
        <v>8081.69</v>
      </c>
    </row>
    <row r="14" spans="1:15" ht="18" customHeight="1">
      <c r="A14" s="9" t="s">
        <v>17</v>
      </c>
      <c r="B14" s="8">
        <v>10600</v>
      </c>
      <c r="C14" s="8">
        <v>10600</v>
      </c>
      <c r="D14" s="8">
        <v>0</v>
      </c>
      <c r="E14" s="8">
        <v>0</v>
      </c>
      <c r="F14" s="8"/>
      <c r="G14" s="8">
        <f t="shared" si="0"/>
        <v>21200</v>
      </c>
      <c r="H14" s="8">
        <v>-125.33</v>
      </c>
      <c r="I14" s="8">
        <v>-21</v>
      </c>
      <c r="J14" s="8">
        <v>-501.3</v>
      </c>
      <c r="K14" s="8">
        <v>-2005.2</v>
      </c>
      <c r="L14" s="8">
        <v>-2539</v>
      </c>
      <c r="M14" s="8">
        <v>0</v>
      </c>
      <c r="N14" s="8">
        <v>-621.9</v>
      </c>
      <c r="O14" s="10">
        <v>15386.27</v>
      </c>
    </row>
    <row r="15" spans="1:15" ht="18" customHeight="1">
      <c r="A15" s="9" t="s">
        <v>19</v>
      </c>
      <c r="B15" s="8">
        <v>4250</v>
      </c>
      <c r="C15" s="8">
        <v>4250</v>
      </c>
      <c r="D15" s="8">
        <v>0</v>
      </c>
      <c r="E15" s="8">
        <v>0</v>
      </c>
      <c r="F15" s="8">
        <v>900</v>
      </c>
      <c r="G15" s="8">
        <f t="shared" si="0"/>
        <v>9400</v>
      </c>
      <c r="H15" s="8">
        <v>-42.5</v>
      </c>
      <c r="I15" s="8">
        <v>-21</v>
      </c>
      <c r="J15" s="8">
        <v>-170</v>
      </c>
      <c r="K15" s="8">
        <v>-680</v>
      </c>
      <c r="L15" s="8">
        <v>-1020</v>
      </c>
      <c r="M15" s="8">
        <v>0</v>
      </c>
      <c r="N15" s="8">
        <v>-104</v>
      </c>
      <c r="O15" s="10">
        <v>7362.5</v>
      </c>
    </row>
    <row r="16" spans="1:15" ht="17.25" customHeight="1">
      <c r="A16" s="13" t="s">
        <v>23</v>
      </c>
      <c r="B16" s="11">
        <v>149239.5</v>
      </c>
      <c r="C16" s="11">
        <v>93823.5</v>
      </c>
      <c r="D16" s="11">
        <v>6600</v>
      </c>
      <c r="E16" s="11">
        <v>1100</v>
      </c>
      <c r="F16" s="11">
        <v>900</v>
      </c>
      <c r="G16" s="8">
        <f t="shared" si="0"/>
        <v>251663</v>
      </c>
      <c r="H16" s="11">
        <v>-1241.3</v>
      </c>
      <c r="I16" s="11">
        <v>-252</v>
      </c>
      <c r="J16" s="11">
        <v>-4965.04</v>
      </c>
      <c r="K16" s="11">
        <v>-19860.16</v>
      </c>
      <c r="L16" s="11">
        <v>-30529</v>
      </c>
      <c r="M16" s="11">
        <v>-1443.78</v>
      </c>
      <c r="N16" s="11">
        <v>-46288.13</v>
      </c>
      <c r="O16" s="11">
        <v>147083.59</v>
      </c>
    </row>
    <row r="18" spans="6:15" ht="16">
      <c r="F18" s="20"/>
      <c r="G18" s="20"/>
      <c r="H18" s="20"/>
      <c r="N18" s="12"/>
      <c r="O18" s="1"/>
    </row>
    <row r="19" spans="6:15">
      <c r="N19" s="12"/>
      <c r="O19" s="1"/>
    </row>
    <row r="20" spans="6:15">
      <c r="N20" s="12"/>
      <c r="O20" s="1"/>
    </row>
    <row r="21" spans="6:15">
      <c r="N21" s="12"/>
      <c r="O21" s="1"/>
    </row>
  </sheetData>
  <mergeCells count="2">
    <mergeCell ref="F18:H18"/>
    <mergeCell ref="A1:O1"/>
  </mergeCells>
  <phoneticPr fontId="4" type="noConversion"/>
  <pageMargins left="0.31496062992126" right="0.196850393700787" top="0.74803149606299202" bottom="0.74803149606299202" header="0.31496062992126" footer="0.31496062992126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8B457-4623-463C-8BBD-C82CF2153E2B}">
  <sheetPr>
    <tabColor rgb="FFFFC000"/>
  </sheetPr>
  <dimension ref="A1:N21"/>
  <sheetViews>
    <sheetView workbookViewId="0"/>
  </sheetViews>
  <sheetFormatPr baseColWidth="10" defaultColWidth="9" defaultRowHeight="15"/>
  <cols>
    <col min="1" max="1" width="21.33203125" style="1" bestFit="1" customWidth="1"/>
    <col min="2" max="2" width="10.5" style="1" bestFit="1" customWidth="1"/>
    <col min="3" max="3" width="8.6640625" style="1" customWidth="1"/>
    <col min="4" max="4" width="8.83203125" style="1" customWidth="1"/>
    <col min="5" max="5" width="9.83203125" style="1" customWidth="1"/>
    <col min="6" max="6" width="9.83203125" style="1" hidden="1" customWidth="1"/>
    <col min="7" max="7" width="9.5" style="1" customWidth="1"/>
    <col min="8" max="8" width="8.5" style="1" bestFit="1" customWidth="1"/>
    <col min="9" max="9" width="9.1640625" style="1" customWidth="1"/>
    <col min="10" max="10" width="11.6640625" style="1" customWidth="1"/>
    <col min="11" max="11" width="10.5" style="1" bestFit="1" customWidth="1"/>
    <col min="12" max="12" width="9" style="1" customWidth="1"/>
    <col min="13" max="13" width="10.5" style="1" bestFit="1" customWidth="1"/>
    <col min="14" max="14" width="16.1640625" style="12" customWidth="1"/>
    <col min="15" max="15" width="9" style="1" customWidth="1"/>
    <col min="16" max="207" width="9" style="1"/>
    <col min="208" max="208" width="6.6640625" style="1" customWidth="1"/>
    <col min="209" max="209" width="6.33203125" style="1" customWidth="1"/>
    <col min="210" max="213" width="8" style="1" customWidth="1"/>
    <col min="214" max="214" width="7.5" style="1" customWidth="1"/>
    <col min="215" max="216" width="8" style="1" customWidth="1"/>
    <col min="217" max="218" width="7.6640625" style="1" customWidth="1"/>
    <col min="219" max="219" width="9.6640625" style="1" customWidth="1"/>
    <col min="220" max="220" width="8.5" style="1" customWidth="1"/>
    <col min="221" max="221" width="7.6640625" style="1" customWidth="1"/>
    <col min="222" max="222" width="6.33203125" style="1" customWidth="1"/>
    <col min="223" max="223" width="8" style="1" customWidth="1"/>
    <col min="224" max="224" width="9.6640625" style="1" customWidth="1"/>
    <col min="225" max="225" width="8.5" style="1" customWidth="1"/>
    <col min="226" max="463" width="9" style="1"/>
    <col min="464" max="464" width="6.6640625" style="1" customWidth="1"/>
    <col min="465" max="465" width="6.33203125" style="1" customWidth="1"/>
    <col min="466" max="469" width="8" style="1" customWidth="1"/>
    <col min="470" max="470" width="7.5" style="1" customWidth="1"/>
    <col min="471" max="472" width="8" style="1" customWidth="1"/>
    <col min="473" max="474" width="7.6640625" style="1" customWidth="1"/>
    <col min="475" max="475" width="9.6640625" style="1" customWidth="1"/>
    <col min="476" max="476" width="8.5" style="1" customWidth="1"/>
    <col min="477" max="477" width="7.6640625" style="1" customWidth="1"/>
    <col min="478" max="478" width="6.33203125" style="1" customWidth="1"/>
    <col min="479" max="479" width="8" style="1" customWidth="1"/>
    <col min="480" max="480" width="9.6640625" style="1" customWidth="1"/>
    <col min="481" max="481" width="8.5" style="1" customWidth="1"/>
    <col min="482" max="719" width="9" style="1"/>
    <col min="720" max="720" width="6.6640625" style="1" customWidth="1"/>
    <col min="721" max="721" width="6.33203125" style="1" customWidth="1"/>
    <col min="722" max="725" width="8" style="1" customWidth="1"/>
    <col min="726" max="726" width="7.5" style="1" customWidth="1"/>
    <col min="727" max="728" width="8" style="1" customWidth="1"/>
    <col min="729" max="730" width="7.6640625" style="1" customWidth="1"/>
    <col min="731" max="731" width="9.6640625" style="1" customWidth="1"/>
    <col min="732" max="732" width="8.5" style="1" customWidth="1"/>
    <col min="733" max="733" width="7.6640625" style="1" customWidth="1"/>
    <col min="734" max="734" width="6.33203125" style="1" customWidth="1"/>
    <col min="735" max="735" width="8" style="1" customWidth="1"/>
    <col min="736" max="736" width="9.6640625" style="1" customWidth="1"/>
    <col min="737" max="737" width="8.5" style="1" customWidth="1"/>
    <col min="738" max="975" width="9" style="1"/>
    <col min="976" max="976" width="6.6640625" style="1" customWidth="1"/>
    <col min="977" max="977" width="6.33203125" style="1" customWidth="1"/>
    <col min="978" max="981" width="8" style="1" customWidth="1"/>
    <col min="982" max="982" width="7.5" style="1" customWidth="1"/>
    <col min="983" max="984" width="8" style="1" customWidth="1"/>
    <col min="985" max="986" width="7.6640625" style="1" customWidth="1"/>
    <col min="987" max="987" width="9.6640625" style="1" customWidth="1"/>
    <col min="988" max="988" width="8.5" style="1" customWidth="1"/>
    <col min="989" max="989" width="7.6640625" style="1" customWidth="1"/>
    <col min="990" max="990" width="6.33203125" style="1" customWidth="1"/>
    <col min="991" max="991" width="8" style="1" customWidth="1"/>
    <col min="992" max="992" width="9.6640625" style="1" customWidth="1"/>
    <col min="993" max="993" width="8.5" style="1" customWidth="1"/>
    <col min="994" max="1231" width="9" style="1"/>
    <col min="1232" max="1232" width="6.6640625" style="1" customWidth="1"/>
    <col min="1233" max="1233" width="6.33203125" style="1" customWidth="1"/>
    <col min="1234" max="1237" width="8" style="1" customWidth="1"/>
    <col min="1238" max="1238" width="7.5" style="1" customWidth="1"/>
    <col min="1239" max="1240" width="8" style="1" customWidth="1"/>
    <col min="1241" max="1242" width="7.6640625" style="1" customWidth="1"/>
    <col min="1243" max="1243" width="9.6640625" style="1" customWidth="1"/>
    <col min="1244" max="1244" width="8.5" style="1" customWidth="1"/>
    <col min="1245" max="1245" width="7.6640625" style="1" customWidth="1"/>
    <col min="1246" max="1246" width="6.33203125" style="1" customWidth="1"/>
    <col min="1247" max="1247" width="8" style="1" customWidth="1"/>
    <col min="1248" max="1248" width="9.6640625" style="1" customWidth="1"/>
    <col min="1249" max="1249" width="8.5" style="1" customWidth="1"/>
    <col min="1250" max="1487" width="9" style="1"/>
    <col min="1488" max="1488" width="6.6640625" style="1" customWidth="1"/>
    <col min="1489" max="1489" width="6.33203125" style="1" customWidth="1"/>
    <col min="1490" max="1493" width="8" style="1" customWidth="1"/>
    <col min="1494" max="1494" width="7.5" style="1" customWidth="1"/>
    <col min="1495" max="1496" width="8" style="1" customWidth="1"/>
    <col min="1497" max="1498" width="7.6640625" style="1" customWidth="1"/>
    <col min="1499" max="1499" width="9.6640625" style="1" customWidth="1"/>
    <col min="1500" max="1500" width="8.5" style="1" customWidth="1"/>
    <col min="1501" max="1501" width="7.6640625" style="1" customWidth="1"/>
    <col min="1502" max="1502" width="6.33203125" style="1" customWidth="1"/>
    <col min="1503" max="1503" width="8" style="1" customWidth="1"/>
    <col min="1504" max="1504" width="9.6640625" style="1" customWidth="1"/>
    <col min="1505" max="1505" width="8.5" style="1" customWidth="1"/>
    <col min="1506" max="1743" width="9" style="1"/>
    <col min="1744" max="1744" width="6.6640625" style="1" customWidth="1"/>
    <col min="1745" max="1745" width="6.33203125" style="1" customWidth="1"/>
    <col min="1746" max="1749" width="8" style="1" customWidth="1"/>
    <col min="1750" max="1750" width="7.5" style="1" customWidth="1"/>
    <col min="1751" max="1752" width="8" style="1" customWidth="1"/>
    <col min="1753" max="1754" width="7.6640625" style="1" customWidth="1"/>
    <col min="1755" max="1755" width="9.6640625" style="1" customWidth="1"/>
    <col min="1756" max="1756" width="8.5" style="1" customWidth="1"/>
    <col min="1757" max="1757" width="7.6640625" style="1" customWidth="1"/>
    <col min="1758" max="1758" width="6.33203125" style="1" customWidth="1"/>
    <col min="1759" max="1759" width="8" style="1" customWidth="1"/>
    <col min="1760" max="1760" width="9.6640625" style="1" customWidth="1"/>
    <col min="1761" max="1761" width="8.5" style="1" customWidth="1"/>
    <col min="1762" max="1999" width="9" style="1"/>
    <col min="2000" max="2000" width="6.6640625" style="1" customWidth="1"/>
    <col min="2001" max="2001" width="6.33203125" style="1" customWidth="1"/>
    <col min="2002" max="2005" width="8" style="1" customWidth="1"/>
    <col min="2006" max="2006" width="7.5" style="1" customWidth="1"/>
    <col min="2007" max="2008" width="8" style="1" customWidth="1"/>
    <col min="2009" max="2010" width="7.6640625" style="1" customWidth="1"/>
    <col min="2011" max="2011" width="9.6640625" style="1" customWidth="1"/>
    <col min="2012" max="2012" width="8.5" style="1" customWidth="1"/>
    <col min="2013" max="2013" width="7.6640625" style="1" customWidth="1"/>
    <col min="2014" max="2014" width="6.33203125" style="1" customWidth="1"/>
    <col min="2015" max="2015" width="8" style="1" customWidth="1"/>
    <col min="2016" max="2016" width="9.6640625" style="1" customWidth="1"/>
    <col min="2017" max="2017" width="8.5" style="1" customWidth="1"/>
    <col min="2018" max="2255" width="9" style="1"/>
    <col min="2256" max="2256" width="6.6640625" style="1" customWidth="1"/>
    <col min="2257" max="2257" width="6.33203125" style="1" customWidth="1"/>
    <col min="2258" max="2261" width="8" style="1" customWidth="1"/>
    <col min="2262" max="2262" width="7.5" style="1" customWidth="1"/>
    <col min="2263" max="2264" width="8" style="1" customWidth="1"/>
    <col min="2265" max="2266" width="7.6640625" style="1" customWidth="1"/>
    <col min="2267" max="2267" width="9.6640625" style="1" customWidth="1"/>
    <col min="2268" max="2268" width="8.5" style="1" customWidth="1"/>
    <col min="2269" max="2269" width="7.6640625" style="1" customWidth="1"/>
    <col min="2270" max="2270" width="6.33203125" style="1" customWidth="1"/>
    <col min="2271" max="2271" width="8" style="1" customWidth="1"/>
    <col min="2272" max="2272" width="9.6640625" style="1" customWidth="1"/>
    <col min="2273" max="2273" width="8.5" style="1" customWidth="1"/>
    <col min="2274" max="2511" width="9" style="1"/>
    <col min="2512" max="2512" width="6.6640625" style="1" customWidth="1"/>
    <col min="2513" max="2513" width="6.33203125" style="1" customWidth="1"/>
    <col min="2514" max="2517" width="8" style="1" customWidth="1"/>
    <col min="2518" max="2518" width="7.5" style="1" customWidth="1"/>
    <col min="2519" max="2520" width="8" style="1" customWidth="1"/>
    <col min="2521" max="2522" width="7.6640625" style="1" customWidth="1"/>
    <col min="2523" max="2523" width="9.6640625" style="1" customWidth="1"/>
    <col min="2524" max="2524" width="8.5" style="1" customWidth="1"/>
    <col min="2525" max="2525" width="7.6640625" style="1" customWidth="1"/>
    <col min="2526" max="2526" width="6.33203125" style="1" customWidth="1"/>
    <col min="2527" max="2527" width="8" style="1" customWidth="1"/>
    <col min="2528" max="2528" width="9.6640625" style="1" customWidth="1"/>
    <col min="2529" max="2529" width="8.5" style="1" customWidth="1"/>
    <col min="2530" max="2767" width="9" style="1"/>
    <col min="2768" max="2768" width="6.6640625" style="1" customWidth="1"/>
    <col min="2769" max="2769" width="6.33203125" style="1" customWidth="1"/>
    <col min="2770" max="2773" width="8" style="1" customWidth="1"/>
    <col min="2774" max="2774" width="7.5" style="1" customWidth="1"/>
    <col min="2775" max="2776" width="8" style="1" customWidth="1"/>
    <col min="2777" max="2778" width="7.6640625" style="1" customWidth="1"/>
    <col min="2779" max="2779" width="9.6640625" style="1" customWidth="1"/>
    <col min="2780" max="2780" width="8.5" style="1" customWidth="1"/>
    <col min="2781" max="2781" width="7.6640625" style="1" customWidth="1"/>
    <col min="2782" max="2782" width="6.33203125" style="1" customWidth="1"/>
    <col min="2783" max="2783" width="8" style="1" customWidth="1"/>
    <col min="2784" max="2784" width="9.6640625" style="1" customWidth="1"/>
    <col min="2785" max="2785" width="8.5" style="1" customWidth="1"/>
    <col min="2786" max="3023" width="9" style="1"/>
    <col min="3024" max="3024" width="6.6640625" style="1" customWidth="1"/>
    <col min="3025" max="3025" width="6.33203125" style="1" customWidth="1"/>
    <col min="3026" max="3029" width="8" style="1" customWidth="1"/>
    <col min="3030" max="3030" width="7.5" style="1" customWidth="1"/>
    <col min="3031" max="3032" width="8" style="1" customWidth="1"/>
    <col min="3033" max="3034" width="7.6640625" style="1" customWidth="1"/>
    <col min="3035" max="3035" width="9.6640625" style="1" customWidth="1"/>
    <col min="3036" max="3036" width="8.5" style="1" customWidth="1"/>
    <col min="3037" max="3037" width="7.6640625" style="1" customWidth="1"/>
    <col min="3038" max="3038" width="6.33203125" style="1" customWidth="1"/>
    <col min="3039" max="3039" width="8" style="1" customWidth="1"/>
    <col min="3040" max="3040" width="9.6640625" style="1" customWidth="1"/>
    <col min="3041" max="3041" width="8.5" style="1" customWidth="1"/>
    <col min="3042" max="3279" width="9" style="1"/>
    <col min="3280" max="3280" width="6.6640625" style="1" customWidth="1"/>
    <col min="3281" max="3281" width="6.33203125" style="1" customWidth="1"/>
    <col min="3282" max="3285" width="8" style="1" customWidth="1"/>
    <col min="3286" max="3286" width="7.5" style="1" customWidth="1"/>
    <col min="3287" max="3288" width="8" style="1" customWidth="1"/>
    <col min="3289" max="3290" width="7.6640625" style="1" customWidth="1"/>
    <col min="3291" max="3291" width="9.6640625" style="1" customWidth="1"/>
    <col min="3292" max="3292" width="8.5" style="1" customWidth="1"/>
    <col min="3293" max="3293" width="7.6640625" style="1" customWidth="1"/>
    <col min="3294" max="3294" width="6.33203125" style="1" customWidth="1"/>
    <col min="3295" max="3295" width="8" style="1" customWidth="1"/>
    <col min="3296" max="3296" width="9.6640625" style="1" customWidth="1"/>
    <col min="3297" max="3297" width="8.5" style="1" customWidth="1"/>
    <col min="3298" max="3535" width="9" style="1"/>
    <col min="3536" max="3536" width="6.6640625" style="1" customWidth="1"/>
    <col min="3537" max="3537" width="6.33203125" style="1" customWidth="1"/>
    <col min="3538" max="3541" width="8" style="1" customWidth="1"/>
    <col min="3542" max="3542" width="7.5" style="1" customWidth="1"/>
    <col min="3543" max="3544" width="8" style="1" customWidth="1"/>
    <col min="3545" max="3546" width="7.6640625" style="1" customWidth="1"/>
    <col min="3547" max="3547" width="9.6640625" style="1" customWidth="1"/>
    <col min="3548" max="3548" width="8.5" style="1" customWidth="1"/>
    <col min="3549" max="3549" width="7.6640625" style="1" customWidth="1"/>
    <col min="3550" max="3550" width="6.33203125" style="1" customWidth="1"/>
    <col min="3551" max="3551" width="8" style="1" customWidth="1"/>
    <col min="3552" max="3552" width="9.6640625" style="1" customWidth="1"/>
    <col min="3553" max="3553" width="8.5" style="1" customWidth="1"/>
    <col min="3554" max="3791" width="9" style="1"/>
    <col min="3792" max="3792" width="6.6640625" style="1" customWidth="1"/>
    <col min="3793" max="3793" width="6.33203125" style="1" customWidth="1"/>
    <col min="3794" max="3797" width="8" style="1" customWidth="1"/>
    <col min="3798" max="3798" width="7.5" style="1" customWidth="1"/>
    <col min="3799" max="3800" width="8" style="1" customWidth="1"/>
    <col min="3801" max="3802" width="7.6640625" style="1" customWidth="1"/>
    <col min="3803" max="3803" width="9.6640625" style="1" customWidth="1"/>
    <col min="3804" max="3804" width="8.5" style="1" customWidth="1"/>
    <col min="3805" max="3805" width="7.6640625" style="1" customWidth="1"/>
    <col min="3806" max="3806" width="6.33203125" style="1" customWidth="1"/>
    <col min="3807" max="3807" width="8" style="1" customWidth="1"/>
    <col min="3808" max="3808" width="9.6640625" style="1" customWidth="1"/>
    <col min="3809" max="3809" width="8.5" style="1" customWidth="1"/>
    <col min="3810" max="4047" width="9" style="1"/>
    <col min="4048" max="4048" width="6.6640625" style="1" customWidth="1"/>
    <col min="4049" max="4049" width="6.33203125" style="1" customWidth="1"/>
    <col min="4050" max="4053" width="8" style="1" customWidth="1"/>
    <col min="4054" max="4054" width="7.5" style="1" customWidth="1"/>
    <col min="4055" max="4056" width="8" style="1" customWidth="1"/>
    <col min="4057" max="4058" width="7.6640625" style="1" customWidth="1"/>
    <col min="4059" max="4059" width="9.6640625" style="1" customWidth="1"/>
    <col min="4060" max="4060" width="8.5" style="1" customWidth="1"/>
    <col min="4061" max="4061" width="7.6640625" style="1" customWidth="1"/>
    <col min="4062" max="4062" width="6.33203125" style="1" customWidth="1"/>
    <col min="4063" max="4063" width="8" style="1" customWidth="1"/>
    <col min="4064" max="4064" width="9.6640625" style="1" customWidth="1"/>
    <col min="4065" max="4065" width="8.5" style="1" customWidth="1"/>
    <col min="4066" max="4303" width="9" style="1"/>
    <col min="4304" max="4304" width="6.6640625" style="1" customWidth="1"/>
    <col min="4305" max="4305" width="6.33203125" style="1" customWidth="1"/>
    <col min="4306" max="4309" width="8" style="1" customWidth="1"/>
    <col min="4310" max="4310" width="7.5" style="1" customWidth="1"/>
    <col min="4311" max="4312" width="8" style="1" customWidth="1"/>
    <col min="4313" max="4314" width="7.6640625" style="1" customWidth="1"/>
    <col min="4315" max="4315" width="9.6640625" style="1" customWidth="1"/>
    <col min="4316" max="4316" width="8.5" style="1" customWidth="1"/>
    <col min="4317" max="4317" width="7.6640625" style="1" customWidth="1"/>
    <col min="4318" max="4318" width="6.33203125" style="1" customWidth="1"/>
    <col min="4319" max="4319" width="8" style="1" customWidth="1"/>
    <col min="4320" max="4320" width="9.6640625" style="1" customWidth="1"/>
    <col min="4321" max="4321" width="8.5" style="1" customWidth="1"/>
    <col min="4322" max="4559" width="9" style="1"/>
    <col min="4560" max="4560" width="6.6640625" style="1" customWidth="1"/>
    <col min="4561" max="4561" width="6.33203125" style="1" customWidth="1"/>
    <col min="4562" max="4565" width="8" style="1" customWidth="1"/>
    <col min="4566" max="4566" width="7.5" style="1" customWidth="1"/>
    <col min="4567" max="4568" width="8" style="1" customWidth="1"/>
    <col min="4569" max="4570" width="7.6640625" style="1" customWidth="1"/>
    <col min="4571" max="4571" width="9.6640625" style="1" customWidth="1"/>
    <col min="4572" max="4572" width="8.5" style="1" customWidth="1"/>
    <col min="4573" max="4573" width="7.6640625" style="1" customWidth="1"/>
    <col min="4574" max="4574" width="6.33203125" style="1" customWidth="1"/>
    <col min="4575" max="4575" width="8" style="1" customWidth="1"/>
    <col min="4576" max="4576" width="9.6640625" style="1" customWidth="1"/>
    <col min="4577" max="4577" width="8.5" style="1" customWidth="1"/>
    <col min="4578" max="4815" width="9" style="1"/>
    <col min="4816" max="4816" width="6.6640625" style="1" customWidth="1"/>
    <col min="4817" max="4817" width="6.33203125" style="1" customWidth="1"/>
    <col min="4818" max="4821" width="8" style="1" customWidth="1"/>
    <col min="4822" max="4822" width="7.5" style="1" customWidth="1"/>
    <col min="4823" max="4824" width="8" style="1" customWidth="1"/>
    <col min="4825" max="4826" width="7.6640625" style="1" customWidth="1"/>
    <col min="4827" max="4827" width="9.6640625" style="1" customWidth="1"/>
    <col min="4828" max="4828" width="8.5" style="1" customWidth="1"/>
    <col min="4829" max="4829" width="7.6640625" style="1" customWidth="1"/>
    <col min="4830" max="4830" width="6.33203125" style="1" customWidth="1"/>
    <col min="4831" max="4831" width="8" style="1" customWidth="1"/>
    <col min="4832" max="4832" width="9.6640625" style="1" customWidth="1"/>
    <col min="4833" max="4833" width="8.5" style="1" customWidth="1"/>
    <col min="4834" max="5071" width="9" style="1"/>
    <col min="5072" max="5072" width="6.6640625" style="1" customWidth="1"/>
    <col min="5073" max="5073" width="6.33203125" style="1" customWidth="1"/>
    <col min="5074" max="5077" width="8" style="1" customWidth="1"/>
    <col min="5078" max="5078" width="7.5" style="1" customWidth="1"/>
    <col min="5079" max="5080" width="8" style="1" customWidth="1"/>
    <col min="5081" max="5082" width="7.6640625" style="1" customWidth="1"/>
    <col min="5083" max="5083" width="9.6640625" style="1" customWidth="1"/>
    <col min="5084" max="5084" width="8.5" style="1" customWidth="1"/>
    <col min="5085" max="5085" width="7.6640625" style="1" customWidth="1"/>
    <col min="5086" max="5086" width="6.33203125" style="1" customWidth="1"/>
    <col min="5087" max="5087" width="8" style="1" customWidth="1"/>
    <col min="5088" max="5088" width="9.6640625" style="1" customWidth="1"/>
    <col min="5089" max="5089" width="8.5" style="1" customWidth="1"/>
    <col min="5090" max="5327" width="9" style="1"/>
    <col min="5328" max="5328" width="6.6640625" style="1" customWidth="1"/>
    <col min="5329" max="5329" width="6.33203125" style="1" customWidth="1"/>
    <col min="5330" max="5333" width="8" style="1" customWidth="1"/>
    <col min="5334" max="5334" width="7.5" style="1" customWidth="1"/>
    <col min="5335" max="5336" width="8" style="1" customWidth="1"/>
    <col min="5337" max="5338" width="7.6640625" style="1" customWidth="1"/>
    <col min="5339" max="5339" width="9.6640625" style="1" customWidth="1"/>
    <col min="5340" max="5340" width="8.5" style="1" customWidth="1"/>
    <col min="5341" max="5341" width="7.6640625" style="1" customWidth="1"/>
    <col min="5342" max="5342" width="6.33203125" style="1" customWidth="1"/>
    <col min="5343" max="5343" width="8" style="1" customWidth="1"/>
    <col min="5344" max="5344" width="9.6640625" style="1" customWidth="1"/>
    <col min="5345" max="5345" width="8.5" style="1" customWidth="1"/>
    <col min="5346" max="5583" width="9" style="1"/>
    <col min="5584" max="5584" width="6.6640625" style="1" customWidth="1"/>
    <col min="5585" max="5585" width="6.33203125" style="1" customWidth="1"/>
    <col min="5586" max="5589" width="8" style="1" customWidth="1"/>
    <col min="5590" max="5590" width="7.5" style="1" customWidth="1"/>
    <col min="5591" max="5592" width="8" style="1" customWidth="1"/>
    <col min="5593" max="5594" width="7.6640625" style="1" customWidth="1"/>
    <col min="5595" max="5595" width="9.6640625" style="1" customWidth="1"/>
    <col min="5596" max="5596" width="8.5" style="1" customWidth="1"/>
    <col min="5597" max="5597" width="7.6640625" style="1" customWidth="1"/>
    <col min="5598" max="5598" width="6.33203125" style="1" customWidth="1"/>
    <col min="5599" max="5599" width="8" style="1" customWidth="1"/>
    <col min="5600" max="5600" width="9.6640625" style="1" customWidth="1"/>
    <col min="5601" max="5601" width="8.5" style="1" customWidth="1"/>
    <col min="5602" max="5839" width="9" style="1"/>
    <col min="5840" max="5840" width="6.6640625" style="1" customWidth="1"/>
    <col min="5841" max="5841" width="6.33203125" style="1" customWidth="1"/>
    <col min="5842" max="5845" width="8" style="1" customWidth="1"/>
    <col min="5846" max="5846" width="7.5" style="1" customWidth="1"/>
    <col min="5847" max="5848" width="8" style="1" customWidth="1"/>
    <col min="5849" max="5850" width="7.6640625" style="1" customWidth="1"/>
    <col min="5851" max="5851" width="9.6640625" style="1" customWidth="1"/>
    <col min="5852" max="5852" width="8.5" style="1" customWidth="1"/>
    <col min="5853" max="5853" width="7.6640625" style="1" customWidth="1"/>
    <col min="5854" max="5854" width="6.33203125" style="1" customWidth="1"/>
    <col min="5855" max="5855" width="8" style="1" customWidth="1"/>
    <col min="5856" max="5856" width="9.6640625" style="1" customWidth="1"/>
    <col min="5857" max="5857" width="8.5" style="1" customWidth="1"/>
    <col min="5858" max="6095" width="9" style="1"/>
    <col min="6096" max="6096" width="6.6640625" style="1" customWidth="1"/>
    <col min="6097" max="6097" width="6.33203125" style="1" customWidth="1"/>
    <col min="6098" max="6101" width="8" style="1" customWidth="1"/>
    <col min="6102" max="6102" width="7.5" style="1" customWidth="1"/>
    <col min="6103" max="6104" width="8" style="1" customWidth="1"/>
    <col min="6105" max="6106" width="7.6640625" style="1" customWidth="1"/>
    <col min="6107" max="6107" width="9.6640625" style="1" customWidth="1"/>
    <col min="6108" max="6108" width="8.5" style="1" customWidth="1"/>
    <col min="6109" max="6109" width="7.6640625" style="1" customWidth="1"/>
    <col min="6110" max="6110" width="6.33203125" style="1" customWidth="1"/>
    <col min="6111" max="6111" width="8" style="1" customWidth="1"/>
    <col min="6112" max="6112" width="9.6640625" style="1" customWidth="1"/>
    <col min="6113" max="6113" width="8.5" style="1" customWidth="1"/>
    <col min="6114" max="6351" width="9" style="1"/>
    <col min="6352" max="6352" width="6.6640625" style="1" customWidth="1"/>
    <col min="6353" max="6353" width="6.33203125" style="1" customWidth="1"/>
    <col min="6354" max="6357" width="8" style="1" customWidth="1"/>
    <col min="6358" max="6358" width="7.5" style="1" customWidth="1"/>
    <col min="6359" max="6360" width="8" style="1" customWidth="1"/>
    <col min="6361" max="6362" width="7.6640625" style="1" customWidth="1"/>
    <col min="6363" max="6363" width="9.6640625" style="1" customWidth="1"/>
    <col min="6364" max="6364" width="8.5" style="1" customWidth="1"/>
    <col min="6365" max="6365" width="7.6640625" style="1" customWidth="1"/>
    <col min="6366" max="6366" width="6.33203125" style="1" customWidth="1"/>
    <col min="6367" max="6367" width="8" style="1" customWidth="1"/>
    <col min="6368" max="6368" width="9.6640625" style="1" customWidth="1"/>
    <col min="6369" max="6369" width="8.5" style="1" customWidth="1"/>
    <col min="6370" max="6607" width="9" style="1"/>
    <col min="6608" max="6608" width="6.6640625" style="1" customWidth="1"/>
    <col min="6609" max="6609" width="6.33203125" style="1" customWidth="1"/>
    <col min="6610" max="6613" width="8" style="1" customWidth="1"/>
    <col min="6614" max="6614" width="7.5" style="1" customWidth="1"/>
    <col min="6615" max="6616" width="8" style="1" customWidth="1"/>
    <col min="6617" max="6618" width="7.6640625" style="1" customWidth="1"/>
    <col min="6619" max="6619" width="9.6640625" style="1" customWidth="1"/>
    <col min="6620" max="6620" width="8.5" style="1" customWidth="1"/>
    <col min="6621" max="6621" width="7.6640625" style="1" customWidth="1"/>
    <col min="6622" max="6622" width="6.33203125" style="1" customWidth="1"/>
    <col min="6623" max="6623" width="8" style="1" customWidth="1"/>
    <col min="6624" max="6624" width="9.6640625" style="1" customWidth="1"/>
    <col min="6625" max="6625" width="8.5" style="1" customWidth="1"/>
    <col min="6626" max="6863" width="9" style="1"/>
    <col min="6864" max="6864" width="6.6640625" style="1" customWidth="1"/>
    <col min="6865" max="6865" width="6.33203125" style="1" customWidth="1"/>
    <col min="6866" max="6869" width="8" style="1" customWidth="1"/>
    <col min="6870" max="6870" width="7.5" style="1" customWidth="1"/>
    <col min="6871" max="6872" width="8" style="1" customWidth="1"/>
    <col min="6873" max="6874" width="7.6640625" style="1" customWidth="1"/>
    <col min="6875" max="6875" width="9.6640625" style="1" customWidth="1"/>
    <col min="6876" max="6876" width="8.5" style="1" customWidth="1"/>
    <col min="6877" max="6877" width="7.6640625" style="1" customWidth="1"/>
    <col min="6878" max="6878" width="6.33203125" style="1" customWidth="1"/>
    <col min="6879" max="6879" width="8" style="1" customWidth="1"/>
    <col min="6880" max="6880" width="9.6640625" style="1" customWidth="1"/>
    <col min="6881" max="6881" width="8.5" style="1" customWidth="1"/>
    <col min="6882" max="7119" width="9" style="1"/>
    <col min="7120" max="7120" width="6.6640625" style="1" customWidth="1"/>
    <col min="7121" max="7121" width="6.33203125" style="1" customWidth="1"/>
    <col min="7122" max="7125" width="8" style="1" customWidth="1"/>
    <col min="7126" max="7126" width="7.5" style="1" customWidth="1"/>
    <col min="7127" max="7128" width="8" style="1" customWidth="1"/>
    <col min="7129" max="7130" width="7.6640625" style="1" customWidth="1"/>
    <col min="7131" max="7131" width="9.6640625" style="1" customWidth="1"/>
    <col min="7132" max="7132" width="8.5" style="1" customWidth="1"/>
    <col min="7133" max="7133" width="7.6640625" style="1" customWidth="1"/>
    <col min="7134" max="7134" width="6.33203125" style="1" customWidth="1"/>
    <col min="7135" max="7135" width="8" style="1" customWidth="1"/>
    <col min="7136" max="7136" width="9.6640625" style="1" customWidth="1"/>
    <col min="7137" max="7137" width="8.5" style="1" customWidth="1"/>
    <col min="7138" max="7375" width="9" style="1"/>
    <col min="7376" max="7376" width="6.6640625" style="1" customWidth="1"/>
    <col min="7377" max="7377" width="6.33203125" style="1" customWidth="1"/>
    <col min="7378" max="7381" width="8" style="1" customWidth="1"/>
    <col min="7382" max="7382" width="7.5" style="1" customWidth="1"/>
    <col min="7383" max="7384" width="8" style="1" customWidth="1"/>
    <col min="7385" max="7386" width="7.6640625" style="1" customWidth="1"/>
    <col min="7387" max="7387" width="9.6640625" style="1" customWidth="1"/>
    <col min="7388" max="7388" width="8.5" style="1" customWidth="1"/>
    <col min="7389" max="7389" width="7.6640625" style="1" customWidth="1"/>
    <col min="7390" max="7390" width="6.33203125" style="1" customWidth="1"/>
    <col min="7391" max="7391" width="8" style="1" customWidth="1"/>
    <col min="7392" max="7392" width="9.6640625" style="1" customWidth="1"/>
    <col min="7393" max="7393" width="8.5" style="1" customWidth="1"/>
    <col min="7394" max="7631" width="9" style="1"/>
    <col min="7632" max="7632" width="6.6640625" style="1" customWidth="1"/>
    <col min="7633" max="7633" width="6.33203125" style="1" customWidth="1"/>
    <col min="7634" max="7637" width="8" style="1" customWidth="1"/>
    <col min="7638" max="7638" width="7.5" style="1" customWidth="1"/>
    <col min="7639" max="7640" width="8" style="1" customWidth="1"/>
    <col min="7641" max="7642" width="7.6640625" style="1" customWidth="1"/>
    <col min="7643" max="7643" width="9.6640625" style="1" customWidth="1"/>
    <col min="7644" max="7644" width="8.5" style="1" customWidth="1"/>
    <col min="7645" max="7645" width="7.6640625" style="1" customWidth="1"/>
    <col min="7646" max="7646" width="6.33203125" style="1" customWidth="1"/>
    <col min="7647" max="7647" width="8" style="1" customWidth="1"/>
    <col min="7648" max="7648" width="9.6640625" style="1" customWidth="1"/>
    <col min="7649" max="7649" width="8.5" style="1" customWidth="1"/>
    <col min="7650" max="7887" width="9" style="1"/>
    <col min="7888" max="7888" width="6.6640625" style="1" customWidth="1"/>
    <col min="7889" max="7889" width="6.33203125" style="1" customWidth="1"/>
    <col min="7890" max="7893" width="8" style="1" customWidth="1"/>
    <col min="7894" max="7894" width="7.5" style="1" customWidth="1"/>
    <col min="7895" max="7896" width="8" style="1" customWidth="1"/>
    <col min="7897" max="7898" width="7.6640625" style="1" customWidth="1"/>
    <col min="7899" max="7899" width="9.6640625" style="1" customWidth="1"/>
    <col min="7900" max="7900" width="8.5" style="1" customWidth="1"/>
    <col min="7901" max="7901" width="7.6640625" style="1" customWidth="1"/>
    <col min="7902" max="7902" width="6.33203125" style="1" customWidth="1"/>
    <col min="7903" max="7903" width="8" style="1" customWidth="1"/>
    <col min="7904" max="7904" width="9.6640625" style="1" customWidth="1"/>
    <col min="7905" max="7905" width="8.5" style="1" customWidth="1"/>
    <col min="7906" max="8143" width="9" style="1"/>
    <col min="8144" max="8144" width="6.6640625" style="1" customWidth="1"/>
    <col min="8145" max="8145" width="6.33203125" style="1" customWidth="1"/>
    <col min="8146" max="8149" width="8" style="1" customWidth="1"/>
    <col min="8150" max="8150" width="7.5" style="1" customWidth="1"/>
    <col min="8151" max="8152" width="8" style="1" customWidth="1"/>
    <col min="8153" max="8154" width="7.6640625" style="1" customWidth="1"/>
    <col min="8155" max="8155" width="9.6640625" style="1" customWidth="1"/>
    <col min="8156" max="8156" width="8.5" style="1" customWidth="1"/>
    <col min="8157" max="8157" width="7.6640625" style="1" customWidth="1"/>
    <col min="8158" max="8158" width="6.33203125" style="1" customWidth="1"/>
    <col min="8159" max="8159" width="8" style="1" customWidth="1"/>
    <col min="8160" max="8160" width="9.6640625" style="1" customWidth="1"/>
    <col min="8161" max="8161" width="8.5" style="1" customWidth="1"/>
    <col min="8162" max="8399" width="9" style="1"/>
    <col min="8400" max="8400" width="6.6640625" style="1" customWidth="1"/>
    <col min="8401" max="8401" width="6.33203125" style="1" customWidth="1"/>
    <col min="8402" max="8405" width="8" style="1" customWidth="1"/>
    <col min="8406" max="8406" width="7.5" style="1" customWidth="1"/>
    <col min="8407" max="8408" width="8" style="1" customWidth="1"/>
    <col min="8409" max="8410" width="7.6640625" style="1" customWidth="1"/>
    <col min="8411" max="8411" width="9.6640625" style="1" customWidth="1"/>
    <col min="8412" max="8412" width="8.5" style="1" customWidth="1"/>
    <col min="8413" max="8413" width="7.6640625" style="1" customWidth="1"/>
    <col min="8414" max="8414" width="6.33203125" style="1" customWidth="1"/>
    <col min="8415" max="8415" width="8" style="1" customWidth="1"/>
    <col min="8416" max="8416" width="9.6640625" style="1" customWidth="1"/>
    <col min="8417" max="8417" width="8.5" style="1" customWidth="1"/>
    <col min="8418" max="8655" width="9" style="1"/>
    <col min="8656" max="8656" width="6.6640625" style="1" customWidth="1"/>
    <col min="8657" max="8657" width="6.33203125" style="1" customWidth="1"/>
    <col min="8658" max="8661" width="8" style="1" customWidth="1"/>
    <col min="8662" max="8662" width="7.5" style="1" customWidth="1"/>
    <col min="8663" max="8664" width="8" style="1" customWidth="1"/>
    <col min="8665" max="8666" width="7.6640625" style="1" customWidth="1"/>
    <col min="8667" max="8667" width="9.6640625" style="1" customWidth="1"/>
    <col min="8668" max="8668" width="8.5" style="1" customWidth="1"/>
    <col min="8669" max="8669" width="7.6640625" style="1" customWidth="1"/>
    <col min="8670" max="8670" width="6.33203125" style="1" customWidth="1"/>
    <col min="8671" max="8671" width="8" style="1" customWidth="1"/>
    <col min="8672" max="8672" width="9.6640625" style="1" customWidth="1"/>
    <col min="8673" max="8673" width="8.5" style="1" customWidth="1"/>
    <col min="8674" max="8911" width="9" style="1"/>
    <col min="8912" max="8912" width="6.6640625" style="1" customWidth="1"/>
    <col min="8913" max="8913" width="6.33203125" style="1" customWidth="1"/>
    <col min="8914" max="8917" width="8" style="1" customWidth="1"/>
    <col min="8918" max="8918" width="7.5" style="1" customWidth="1"/>
    <col min="8919" max="8920" width="8" style="1" customWidth="1"/>
    <col min="8921" max="8922" width="7.6640625" style="1" customWidth="1"/>
    <col min="8923" max="8923" width="9.6640625" style="1" customWidth="1"/>
    <col min="8924" max="8924" width="8.5" style="1" customWidth="1"/>
    <col min="8925" max="8925" width="7.6640625" style="1" customWidth="1"/>
    <col min="8926" max="8926" width="6.33203125" style="1" customWidth="1"/>
    <col min="8927" max="8927" width="8" style="1" customWidth="1"/>
    <col min="8928" max="8928" width="9.6640625" style="1" customWidth="1"/>
    <col min="8929" max="8929" width="8.5" style="1" customWidth="1"/>
    <col min="8930" max="9167" width="9" style="1"/>
    <col min="9168" max="9168" width="6.6640625" style="1" customWidth="1"/>
    <col min="9169" max="9169" width="6.33203125" style="1" customWidth="1"/>
    <col min="9170" max="9173" width="8" style="1" customWidth="1"/>
    <col min="9174" max="9174" width="7.5" style="1" customWidth="1"/>
    <col min="9175" max="9176" width="8" style="1" customWidth="1"/>
    <col min="9177" max="9178" width="7.6640625" style="1" customWidth="1"/>
    <col min="9179" max="9179" width="9.6640625" style="1" customWidth="1"/>
    <col min="9180" max="9180" width="8.5" style="1" customWidth="1"/>
    <col min="9181" max="9181" width="7.6640625" style="1" customWidth="1"/>
    <col min="9182" max="9182" width="6.33203125" style="1" customWidth="1"/>
    <col min="9183" max="9183" width="8" style="1" customWidth="1"/>
    <col min="9184" max="9184" width="9.6640625" style="1" customWidth="1"/>
    <col min="9185" max="9185" width="8.5" style="1" customWidth="1"/>
    <col min="9186" max="9423" width="9" style="1"/>
    <col min="9424" max="9424" width="6.6640625" style="1" customWidth="1"/>
    <col min="9425" max="9425" width="6.33203125" style="1" customWidth="1"/>
    <col min="9426" max="9429" width="8" style="1" customWidth="1"/>
    <col min="9430" max="9430" width="7.5" style="1" customWidth="1"/>
    <col min="9431" max="9432" width="8" style="1" customWidth="1"/>
    <col min="9433" max="9434" width="7.6640625" style="1" customWidth="1"/>
    <col min="9435" max="9435" width="9.6640625" style="1" customWidth="1"/>
    <col min="9436" max="9436" width="8.5" style="1" customWidth="1"/>
    <col min="9437" max="9437" width="7.6640625" style="1" customWidth="1"/>
    <col min="9438" max="9438" width="6.33203125" style="1" customWidth="1"/>
    <col min="9439" max="9439" width="8" style="1" customWidth="1"/>
    <col min="9440" max="9440" width="9.6640625" style="1" customWidth="1"/>
    <col min="9441" max="9441" width="8.5" style="1" customWidth="1"/>
    <col min="9442" max="9679" width="9" style="1"/>
    <col min="9680" max="9680" width="6.6640625" style="1" customWidth="1"/>
    <col min="9681" max="9681" width="6.33203125" style="1" customWidth="1"/>
    <col min="9682" max="9685" width="8" style="1" customWidth="1"/>
    <col min="9686" max="9686" width="7.5" style="1" customWidth="1"/>
    <col min="9687" max="9688" width="8" style="1" customWidth="1"/>
    <col min="9689" max="9690" width="7.6640625" style="1" customWidth="1"/>
    <col min="9691" max="9691" width="9.6640625" style="1" customWidth="1"/>
    <col min="9692" max="9692" width="8.5" style="1" customWidth="1"/>
    <col min="9693" max="9693" width="7.6640625" style="1" customWidth="1"/>
    <col min="9694" max="9694" width="6.33203125" style="1" customWidth="1"/>
    <col min="9695" max="9695" width="8" style="1" customWidth="1"/>
    <col min="9696" max="9696" width="9.6640625" style="1" customWidth="1"/>
    <col min="9697" max="9697" width="8.5" style="1" customWidth="1"/>
    <col min="9698" max="9935" width="9" style="1"/>
    <col min="9936" max="9936" width="6.6640625" style="1" customWidth="1"/>
    <col min="9937" max="9937" width="6.33203125" style="1" customWidth="1"/>
    <col min="9938" max="9941" width="8" style="1" customWidth="1"/>
    <col min="9942" max="9942" width="7.5" style="1" customWidth="1"/>
    <col min="9943" max="9944" width="8" style="1" customWidth="1"/>
    <col min="9945" max="9946" width="7.6640625" style="1" customWidth="1"/>
    <col min="9947" max="9947" width="9.6640625" style="1" customWidth="1"/>
    <col min="9948" max="9948" width="8.5" style="1" customWidth="1"/>
    <col min="9949" max="9949" width="7.6640625" style="1" customWidth="1"/>
    <col min="9950" max="9950" width="6.33203125" style="1" customWidth="1"/>
    <col min="9951" max="9951" width="8" style="1" customWidth="1"/>
    <col min="9952" max="9952" width="9.6640625" style="1" customWidth="1"/>
    <col min="9953" max="9953" width="8.5" style="1" customWidth="1"/>
    <col min="9954" max="10191" width="9" style="1"/>
    <col min="10192" max="10192" width="6.6640625" style="1" customWidth="1"/>
    <col min="10193" max="10193" width="6.33203125" style="1" customWidth="1"/>
    <col min="10194" max="10197" width="8" style="1" customWidth="1"/>
    <col min="10198" max="10198" width="7.5" style="1" customWidth="1"/>
    <col min="10199" max="10200" width="8" style="1" customWidth="1"/>
    <col min="10201" max="10202" width="7.6640625" style="1" customWidth="1"/>
    <col min="10203" max="10203" width="9.6640625" style="1" customWidth="1"/>
    <col min="10204" max="10204" width="8.5" style="1" customWidth="1"/>
    <col min="10205" max="10205" width="7.6640625" style="1" customWidth="1"/>
    <col min="10206" max="10206" width="6.33203125" style="1" customWidth="1"/>
    <col min="10207" max="10207" width="8" style="1" customWidth="1"/>
    <col min="10208" max="10208" width="9.6640625" style="1" customWidth="1"/>
    <col min="10209" max="10209" width="8.5" style="1" customWidth="1"/>
    <col min="10210" max="10447" width="9" style="1"/>
    <col min="10448" max="10448" width="6.6640625" style="1" customWidth="1"/>
    <col min="10449" max="10449" width="6.33203125" style="1" customWidth="1"/>
    <col min="10450" max="10453" width="8" style="1" customWidth="1"/>
    <col min="10454" max="10454" width="7.5" style="1" customWidth="1"/>
    <col min="10455" max="10456" width="8" style="1" customWidth="1"/>
    <col min="10457" max="10458" width="7.6640625" style="1" customWidth="1"/>
    <col min="10459" max="10459" width="9.6640625" style="1" customWidth="1"/>
    <col min="10460" max="10460" width="8.5" style="1" customWidth="1"/>
    <col min="10461" max="10461" width="7.6640625" style="1" customWidth="1"/>
    <col min="10462" max="10462" width="6.33203125" style="1" customWidth="1"/>
    <col min="10463" max="10463" width="8" style="1" customWidth="1"/>
    <col min="10464" max="10464" width="9.6640625" style="1" customWidth="1"/>
    <col min="10465" max="10465" width="8.5" style="1" customWidth="1"/>
    <col min="10466" max="10703" width="9" style="1"/>
    <col min="10704" max="10704" width="6.6640625" style="1" customWidth="1"/>
    <col min="10705" max="10705" width="6.33203125" style="1" customWidth="1"/>
    <col min="10706" max="10709" width="8" style="1" customWidth="1"/>
    <col min="10710" max="10710" width="7.5" style="1" customWidth="1"/>
    <col min="10711" max="10712" width="8" style="1" customWidth="1"/>
    <col min="10713" max="10714" width="7.6640625" style="1" customWidth="1"/>
    <col min="10715" max="10715" width="9.6640625" style="1" customWidth="1"/>
    <col min="10716" max="10716" width="8.5" style="1" customWidth="1"/>
    <col min="10717" max="10717" width="7.6640625" style="1" customWidth="1"/>
    <col min="10718" max="10718" width="6.33203125" style="1" customWidth="1"/>
    <col min="10719" max="10719" width="8" style="1" customWidth="1"/>
    <col min="10720" max="10720" width="9.6640625" style="1" customWidth="1"/>
    <col min="10721" max="10721" width="8.5" style="1" customWidth="1"/>
    <col min="10722" max="10959" width="9" style="1"/>
    <col min="10960" max="10960" width="6.6640625" style="1" customWidth="1"/>
    <col min="10961" max="10961" width="6.33203125" style="1" customWidth="1"/>
    <col min="10962" max="10965" width="8" style="1" customWidth="1"/>
    <col min="10966" max="10966" width="7.5" style="1" customWidth="1"/>
    <col min="10967" max="10968" width="8" style="1" customWidth="1"/>
    <col min="10969" max="10970" width="7.6640625" style="1" customWidth="1"/>
    <col min="10971" max="10971" width="9.6640625" style="1" customWidth="1"/>
    <col min="10972" max="10972" width="8.5" style="1" customWidth="1"/>
    <col min="10973" max="10973" width="7.6640625" style="1" customWidth="1"/>
    <col min="10974" max="10974" width="6.33203125" style="1" customWidth="1"/>
    <col min="10975" max="10975" width="8" style="1" customWidth="1"/>
    <col min="10976" max="10976" width="9.6640625" style="1" customWidth="1"/>
    <col min="10977" max="10977" width="8.5" style="1" customWidth="1"/>
    <col min="10978" max="11215" width="9" style="1"/>
    <col min="11216" max="11216" width="6.6640625" style="1" customWidth="1"/>
    <col min="11217" max="11217" width="6.33203125" style="1" customWidth="1"/>
    <col min="11218" max="11221" width="8" style="1" customWidth="1"/>
    <col min="11222" max="11222" width="7.5" style="1" customWidth="1"/>
    <col min="11223" max="11224" width="8" style="1" customWidth="1"/>
    <col min="11225" max="11226" width="7.6640625" style="1" customWidth="1"/>
    <col min="11227" max="11227" width="9.6640625" style="1" customWidth="1"/>
    <col min="11228" max="11228" width="8.5" style="1" customWidth="1"/>
    <col min="11229" max="11229" width="7.6640625" style="1" customWidth="1"/>
    <col min="11230" max="11230" width="6.33203125" style="1" customWidth="1"/>
    <col min="11231" max="11231" width="8" style="1" customWidth="1"/>
    <col min="11232" max="11232" width="9.6640625" style="1" customWidth="1"/>
    <col min="11233" max="11233" width="8.5" style="1" customWidth="1"/>
    <col min="11234" max="11471" width="9" style="1"/>
    <col min="11472" max="11472" width="6.6640625" style="1" customWidth="1"/>
    <col min="11473" max="11473" width="6.33203125" style="1" customWidth="1"/>
    <col min="11474" max="11477" width="8" style="1" customWidth="1"/>
    <col min="11478" max="11478" width="7.5" style="1" customWidth="1"/>
    <col min="11479" max="11480" width="8" style="1" customWidth="1"/>
    <col min="11481" max="11482" width="7.6640625" style="1" customWidth="1"/>
    <col min="11483" max="11483" width="9.6640625" style="1" customWidth="1"/>
    <col min="11484" max="11484" width="8.5" style="1" customWidth="1"/>
    <col min="11485" max="11485" width="7.6640625" style="1" customWidth="1"/>
    <col min="11486" max="11486" width="6.33203125" style="1" customWidth="1"/>
    <col min="11487" max="11487" width="8" style="1" customWidth="1"/>
    <col min="11488" max="11488" width="9.6640625" style="1" customWidth="1"/>
    <col min="11489" max="11489" width="8.5" style="1" customWidth="1"/>
    <col min="11490" max="11727" width="9" style="1"/>
    <col min="11728" max="11728" width="6.6640625" style="1" customWidth="1"/>
    <col min="11729" max="11729" width="6.33203125" style="1" customWidth="1"/>
    <col min="11730" max="11733" width="8" style="1" customWidth="1"/>
    <col min="11734" max="11734" width="7.5" style="1" customWidth="1"/>
    <col min="11735" max="11736" width="8" style="1" customWidth="1"/>
    <col min="11737" max="11738" width="7.6640625" style="1" customWidth="1"/>
    <col min="11739" max="11739" width="9.6640625" style="1" customWidth="1"/>
    <col min="11740" max="11740" width="8.5" style="1" customWidth="1"/>
    <col min="11741" max="11741" width="7.6640625" style="1" customWidth="1"/>
    <col min="11742" max="11742" width="6.33203125" style="1" customWidth="1"/>
    <col min="11743" max="11743" width="8" style="1" customWidth="1"/>
    <col min="11744" max="11744" width="9.6640625" style="1" customWidth="1"/>
    <col min="11745" max="11745" width="8.5" style="1" customWidth="1"/>
    <col min="11746" max="11983" width="9" style="1"/>
    <col min="11984" max="11984" width="6.6640625" style="1" customWidth="1"/>
    <col min="11985" max="11985" width="6.33203125" style="1" customWidth="1"/>
    <col min="11986" max="11989" width="8" style="1" customWidth="1"/>
    <col min="11990" max="11990" width="7.5" style="1" customWidth="1"/>
    <col min="11991" max="11992" width="8" style="1" customWidth="1"/>
    <col min="11993" max="11994" width="7.6640625" style="1" customWidth="1"/>
    <col min="11995" max="11995" width="9.6640625" style="1" customWidth="1"/>
    <col min="11996" max="11996" width="8.5" style="1" customWidth="1"/>
    <col min="11997" max="11997" width="7.6640625" style="1" customWidth="1"/>
    <col min="11998" max="11998" width="6.33203125" style="1" customWidth="1"/>
    <col min="11999" max="11999" width="8" style="1" customWidth="1"/>
    <col min="12000" max="12000" width="9.6640625" style="1" customWidth="1"/>
    <col min="12001" max="12001" width="8.5" style="1" customWidth="1"/>
    <col min="12002" max="12239" width="9" style="1"/>
    <col min="12240" max="12240" width="6.6640625" style="1" customWidth="1"/>
    <col min="12241" max="12241" width="6.33203125" style="1" customWidth="1"/>
    <col min="12242" max="12245" width="8" style="1" customWidth="1"/>
    <col min="12246" max="12246" width="7.5" style="1" customWidth="1"/>
    <col min="12247" max="12248" width="8" style="1" customWidth="1"/>
    <col min="12249" max="12250" width="7.6640625" style="1" customWidth="1"/>
    <col min="12251" max="12251" width="9.6640625" style="1" customWidth="1"/>
    <col min="12252" max="12252" width="8.5" style="1" customWidth="1"/>
    <col min="12253" max="12253" width="7.6640625" style="1" customWidth="1"/>
    <col min="12254" max="12254" width="6.33203125" style="1" customWidth="1"/>
    <col min="12255" max="12255" width="8" style="1" customWidth="1"/>
    <col min="12256" max="12256" width="9.6640625" style="1" customWidth="1"/>
    <col min="12257" max="12257" width="8.5" style="1" customWidth="1"/>
    <col min="12258" max="12495" width="9" style="1"/>
    <col min="12496" max="12496" width="6.6640625" style="1" customWidth="1"/>
    <col min="12497" max="12497" width="6.33203125" style="1" customWidth="1"/>
    <col min="12498" max="12501" width="8" style="1" customWidth="1"/>
    <col min="12502" max="12502" width="7.5" style="1" customWidth="1"/>
    <col min="12503" max="12504" width="8" style="1" customWidth="1"/>
    <col min="12505" max="12506" width="7.6640625" style="1" customWidth="1"/>
    <col min="12507" max="12507" width="9.6640625" style="1" customWidth="1"/>
    <col min="12508" max="12508" width="8.5" style="1" customWidth="1"/>
    <col min="12509" max="12509" width="7.6640625" style="1" customWidth="1"/>
    <col min="12510" max="12510" width="6.33203125" style="1" customWidth="1"/>
    <col min="12511" max="12511" width="8" style="1" customWidth="1"/>
    <col min="12512" max="12512" width="9.6640625" style="1" customWidth="1"/>
    <col min="12513" max="12513" width="8.5" style="1" customWidth="1"/>
    <col min="12514" max="12751" width="9" style="1"/>
    <col min="12752" max="12752" width="6.6640625" style="1" customWidth="1"/>
    <col min="12753" max="12753" width="6.33203125" style="1" customWidth="1"/>
    <col min="12754" max="12757" width="8" style="1" customWidth="1"/>
    <col min="12758" max="12758" width="7.5" style="1" customWidth="1"/>
    <col min="12759" max="12760" width="8" style="1" customWidth="1"/>
    <col min="12761" max="12762" width="7.6640625" style="1" customWidth="1"/>
    <col min="12763" max="12763" width="9.6640625" style="1" customWidth="1"/>
    <col min="12764" max="12764" width="8.5" style="1" customWidth="1"/>
    <col min="12765" max="12765" width="7.6640625" style="1" customWidth="1"/>
    <col min="12766" max="12766" width="6.33203125" style="1" customWidth="1"/>
    <col min="12767" max="12767" width="8" style="1" customWidth="1"/>
    <col min="12768" max="12768" width="9.6640625" style="1" customWidth="1"/>
    <col min="12769" max="12769" width="8.5" style="1" customWidth="1"/>
    <col min="12770" max="13007" width="9" style="1"/>
    <col min="13008" max="13008" width="6.6640625" style="1" customWidth="1"/>
    <col min="13009" max="13009" width="6.33203125" style="1" customWidth="1"/>
    <col min="13010" max="13013" width="8" style="1" customWidth="1"/>
    <col min="13014" max="13014" width="7.5" style="1" customWidth="1"/>
    <col min="13015" max="13016" width="8" style="1" customWidth="1"/>
    <col min="13017" max="13018" width="7.6640625" style="1" customWidth="1"/>
    <col min="13019" max="13019" width="9.6640625" style="1" customWidth="1"/>
    <col min="13020" max="13020" width="8.5" style="1" customWidth="1"/>
    <col min="13021" max="13021" width="7.6640625" style="1" customWidth="1"/>
    <col min="13022" max="13022" width="6.33203125" style="1" customWidth="1"/>
    <col min="13023" max="13023" width="8" style="1" customWidth="1"/>
    <col min="13024" max="13024" width="9.6640625" style="1" customWidth="1"/>
    <col min="13025" max="13025" width="8.5" style="1" customWidth="1"/>
    <col min="13026" max="13263" width="9" style="1"/>
    <col min="13264" max="13264" width="6.6640625" style="1" customWidth="1"/>
    <col min="13265" max="13265" width="6.33203125" style="1" customWidth="1"/>
    <col min="13266" max="13269" width="8" style="1" customWidth="1"/>
    <col min="13270" max="13270" width="7.5" style="1" customWidth="1"/>
    <col min="13271" max="13272" width="8" style="1" customWidth="1"/>
    <col min="13273" max="13274" width="7.6640625" style="1" customWidth="1"/>
    <col min="13275" max="13275" width="9.6640625" style="1" customWidth="1"/>
    <col min="13276" max="13276" width="8.5" style="1" customWidth="1"/>
    <col min="13277" max="13277" width="7.6640625" style="1" customWidth="1"/>
    <col min="13278" max="13278" width="6.33203125" style="1" customWidth="1"/>
    <col min="13279" max="13279" width="8" style="1" customWidth="1"/>
    <col min="13280" max="13280" width="9.6640625" style="1" customWidth="1"/>
    <col min="13281" max="13281" width="8.5" style="1" customWidth="1"/>
    <col min="13282" max="13519" width="9" style="1"/>
    <col min="13520" max="13520" width="6.6640625" style="1" customWidth="1"/>
    <col min="13521" max="13521" width="6.33203125" style="1" customWidth="1"/>
    <col min="13522" max="13525" width="8" style="1" customWidth="1"/>
    <col min="13526" max="13526" width="7.5" style="1" customWidth="1"/>
    <col min="13527" max="13528" width="8" style="1" customWidth="1"/>
    <col min="13529" max="13530" width="7.6640625" style="1" customWidth="1"/>
    <col min="13531" max="13531" width="9.6640625" style="1" customWidth="1"/>
    <col min="13532" max="13532" width="8.5" style="1" customWidth="1"/>
    <col min="13533" max="13533" width="7.6640625" style="1" customWidth="1"/>
    <col min="13534" max="13534" width="6.33203125" style="1" customWidth="1"/>
    <col min="13535" max="13535" width="8" style="1" customWidth="1"/>
    <col min="13536" max="13536" width="9.6640625" style="1" customWidth="1"/>
    <col min="13537" max="13537" width="8.5" style="1" customWidth="1"/>
    <col min="13538" max="13775" width="9" style="1"/>
    <col min="13776" max="13776" width="6.6640625" style="1" customWidth="1"/>
    <col min="13777" max="13777" width="6.33203125" style="1" customWidth="1"/>
    <col min="13778" max="13781" width="8" style="1" customWidth="1"/>
    <col min="13782" max="13782" width="7.5" style="1" customWidth="1"/>
    <col min="13783" max="13784" width="8" style="1" customWidth="1"/>
    <col min="13785" max="13786" width="7.6640625" style="1" customWidth="1"/>
    <col min="13787" max="13787" width="9.6640625" style="1" customWidth="1"/>
    <col min="13788" max="13788" width="8.5" style="1" customWidth="1"/>
    <col min="13789" max="13789" width="7.6640625" style="1" customWidth="1"/>
    <col min="13790" max="13790" width="6.33203125" style="1" customWidth="1"/>
    <col min="13791" max="13791" width="8" style="1" customWidth="1"/>
    <col min="13792" max="13792" width="9.6640625" style="1" customWidth="1"/>
    <col min="13793" max="13793" width="8.5" style="1" customWidth="1"/>
    <col min="13794" max="14031" width="9" style="1"/>
    <col min="14032" max="14032" width="6.6640625" style="1" customWidth="1"/>
    <col min="14033" max="14033" width="6.33203125" style="1" customWidth="1"/>
    <col min="14034" max="14037" width="8" style="1" customWidth="1"/>
    <col min="14038" max="14038" width="7.5" style="1" customWidth="1"/>
    <col min="14039" max="14040" width="8" style="1" customWidth="1"/>
    <col min="14041" max="14042" width="7.6640625" style="1" customWidth="1"/>
    <col min="14043" max="14043" width="9.6640625" style="1" customWidth="1"/>
    <col min="14044" max="14044" width="8.5" style="1" customWidth="1"/>
    <col min="14045" max="14045" width="7.6640625" style="1" customWidth="1"/>
    <col min="14046" max="14046" width="6.33203125" style="1" customWidth="1"/>
    <col min="14047" max="14047" width="8" style="1" customWidth="1"/>
    <col min="14048" max="14048" width="9.6640625" style="1" customWidth="1"/>
    <col min="14049" max="14049" width="8.5" style="1" customWidth="1"/>
    <col min="14050" max="14287" width="9" style="1"/>
    <col min="14288" max="14288" width="6.6640625" style="1" customWidth="1"/>
    <col min="14289" max="14289" width="6.33203125" style="1" customWidth="1"/>
    <col min="14290" max="14293" width="8" style="1" customWidth="1"/>
    <col min="14294" max="14294" width="7.5" style="1" customWidth="1"/>
    <col min="14295" max="14296" width="8" style="1" customWidth="1"/>
    <col min="14297" max="14298" width="7.6640625" style="1" customWidth="1"/>
    <col min="14299" max="14299" width="9.6640625" style="1" customWidth="1"/>
    <col min="14300" max="14300" width="8.5" style="1" customWidth="1"/>
    <col min="14301" max="14301" width="7.6640625" style="1" customWidth="1"/>
    <col min="14302" max="14302" width="6.33203125" style="1" customWidth="1"/>
    <col min="14303" max="14303" width="8" style="1" customWidth="1"/>
    <col min="14304" max="14304" width="9.6640625" style="1" customWidth="1"/>
    <col min="14305" max="14305" width="8.5" style="1" customWidth="1"/>
    <col min="14306" max="14543" width="9" style="1"/>
    <col min="14544" max="14544" width="6.6640625" style="1" customWidth="1"/>
    <col min="14545" max="14545" width="6.33203125" style="1" customWidth="1"/>
    <col min="14546" max="14549" width="8" style="1" customWidth="1"/>
    <col min="14550" max="14550" width="7.5" style="1" customWidth="1"/>
    <col min="14551" max="14552" width="8" style="1" customWidth="1"/>
    <col min="14553" max="14554" width="7.6640625" style="1" customWidth="1"/>
    <col min="14555" max="14555" width="9.6640625" style="1" customWidth="1"/>
    <col min="14556" max="14556" width="8.5" style="1" customWidth="1"/>
    <col min="14557" max="14557" width="7.6640625" style="1" customWidth="1"/>
    <col min="14558" max="14558" width="6.33203125" style="1" customWidth="1"/>
    <col min="14559" max="14559" width="8" style="1" customWidth="1"/>
    <col min="14560" max="14560" width="9.6640625" style="1" customWidth="1"/>
    <col min="14561" max="14561" width="8.5" style="1" customWidth="1"/>
    <col min="14562" max="14799" width="9" style="1"/>
    <col min="14800" max="14800" width="6.6640625" style="1" customWidth="1"/>
    <col min="14801" max="14801" width="6.33203125" style="1" customWidth="1"/>
    <col min="14802" max="14805" width="8" style="1" customWidth="1"/>
    <col min="14806" max="14806" width="7.5" style="1" customWidth="1"/>
    <col min="14807" max="14808" width="8" style="1" customWidth="1"/>
    <col min="14809" max="14810" width="7.6640625" style="1" customWidth="1"/>
    <col min="14811" max="14811" width="9.6640625" style="1" customWidth="1"/>
    <col min="14812" max="14812" width="8.5" style="1" customWidth="1"/>
    <col min="14813" max="14813" width="7.6640625" style="1" customWidth="1"/>
    <col min="14814" max="14814" width="6.33203125" style="1" customWidth="1"/>
    <col min="14815" max="14815" width="8" style="1" customWidth="1"/>
    <col min="14816" max="14816" width="9.6640625" style="1" customWidth="1"/>
    <col min="14817" max="14817" width="8.5" style="1" customWidth="1"/>
    <col min="14818" max="15055" width="9" style="1"/>
    <col min="15056" max="15056" width="6.6640625" style="1" customWidth="1"/>
    <col min="15057" max="15057" width="6.33203125" style="1" customWidth="1"/>
    <col min="15058" max="15061" width="8" style="1" customWidth="1"/>
    <col min="15062" max="15062" width="7.5" style="1" customWidth="1"/>
    <col min="15063" max="15064" width="8" style="1" customWidth="1"/>
    <col min="15065" max="15066" width="7.6640625" style="1" customWidth="1"/>
    <col min="15067" max="15067" width="9.6640625" style="1" customWidth="1"/>
    <col min="15068" max="15068" width="8.5" style="1" customWidth="1"/>
    <col min="15069" max="15069" width="7.6640625" style="1" customWidth="1"/>
    <col min="15070" max="15070" width="6.33203125" style="1" customWidth="1"/>
    <col min="15071" max="15071" width="8" style="1" customWidth="1"/>
    <col min="15072" max="15072" width="9.6640625" style="1" customWidth="1"/>
    <col min="15073" max="15073" width="8.5" style="1" customWidth="1"/>
    <col min="15074" max="15311" width="9" style="1"/>
    <col min="15312" max="15312" width="6.6640625" style="1" customWidth="1"/>
    <col min="15313" max="15313" width="6.33203125" style="1" customWidth="1"/>
    <col min="15314" max="15317" width="8" style="1" customWidth="1"/>
    <col min="15318" max="15318" width="7.5" style="1" customWidth="1"/>
    <col min="15319" max="15320" width="8" style="1" customWidth="1"/>
    <col min="15321" max="15322" width="7.6640625" style="1" customWidth="1"/>
    <col min="15323" max="15323" width="9.6640625" style="1" customWidth="1"/>
    <col min="15324" max="15324" width="8.5" style="1" customWidth="1"/>
    <col min="15325" max="15325" width="7.6640625" style="1" customWidth="1"/>
    <col min="15326" max="15326" width="6.33203125" style="1" customWidth="1"/>
    <col min="15327" max="15327" width="8" style="1" customWidth="1"/>
    <col min="15328" max="15328" width="9.6640625" style="1" customWidth="1"/>
    <col min="15329" max="15329" width="8.5" style="1" customWidth="1"/>
    <col min="15330" max="15567" width="9" style="1"/>
    <col min="15568" max="15568" width="6.6640625" style="1" customWidth="1"/>
    <col min="15569" max="15569" width="6.33203125" style="1" customWidth="1"/>
    <col min="15570" max="15573" width="8" style="1" customWidth="1"/>
    <col min="15574" max="15574" width="7.5" style="1" customWidth="1"/>
    <col min="15575" max="15576" width="8" style="1" customWidth="1"/>
    <col min="15577" max="15578" width="7.6640625" style="1" customWidth="1"/>
    <col min="15579" max="15579" width="9.6640625" style="1" customWidth="1"/>
    <col min="15580" max="15580" width="8.5" style="1" customWidth="1"/>
    <col min="15581" max="15581" width="7.6640625" style="1" customWidth="1"/>
    <col min="15582" max="15582" width="6.33203125" style="1" customWidth="1"/>
    <col min="15583" max="15583" width="8" style="1" customWidth="1"/>
    <col min="15584" max="15584" width="9.6640625" style="1" customWidth="1"/>
    <col min="15585" max="15585" width="8.5" style="1" customWidth="1"/>
    <col min="15586" max="15823" width="9" style="1"/>
    <col min="15824" max="15824" width="6.6640625" style="1" customWidth="1"/>
    <col min="15825" max="15825" width="6.33203125" style="1" customWidth="1"/>
    <col min="15826" max="15829" width="8" style="1" customWidth="1"/>
    <col min="15830" max="15830" width="7.5" style="1" customWidth="1"/>
    <col min="15831" max="15832" width="8" style="1" customWidth="1"/>
    <col min="15833" max="15834" width="7.6640625" style="1" customWidth="1"/>
    <col min="15835" max="15835" width="9.6640625" style="1" customWidth="1"/>
    <col min="15836" max="15836" width="8.5" style="1" customWidth="1"/>
    <col min="15837" max="15837" width="7.6640625" style="1" customWidth="1"/>
    <col min="15838" max="15838" width="6.33203125" style="1" customWidth="1"/>
    <col min="15839" max="15839" width="8" style="1" customWidth="1"/>
    <col min="15840" max="15840" width="9.6640625" style="1" customWidth="1"/>
    <col min="15841" max="15841" width="8.5" style="1" customWidth="1"/>
    <col min="15842" max="16079" width="9" style="1"/>
    <col min="16080" max="16080" width="6.6640625" style="1" customWidth="1"/>
    <col min="16081" max="16081" width="6.33203125" style="1" customWidth="1"/>
    <col min="16082" max="16085" width="8" style="1" customWidth="1"/>
    <col min="16086" max="16086" width="7.5" style="1" customWidth="1"/>
    <col min="16087" max="16088" width="8" style="1" customWidth="1"/>
    <col min="16089" max="16090" width="7.6640625" style="1" customWidth="1"/>
    <col min="16091" max="16091" width="9.6640625" style="1" customWidth="1"/>
    <col min="16092" max="16092" width="8.5" style="1" customWidth="1"/>
    <col min="16093" max="16093" width="7.6640625" style="1" customWidth="1"/>
    <col min="16094" max="16094" width="6.33203125" style="1" customWidth="1"/>
    <col min="16095" max="16095" width="8" style="1" customWidth="1"/>
    <col min="16096" max="16096" width="9.6640625" style="1" customWidth="1"/>
    <col min="16097" max="16097" width="8.5" style="1" customWidth="1"/>
    <col min="16098" max="16384" width="9" style="1"/>
  </cols>
  <sheetData>
    <row r="1" spans="1:14" ht="33" customHeight="1">
      <c r="A1" s="14" t="s">
        <v>33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customHeight="1">
      <c r="A2" s="2"/>
      <c r="B2" s="2"/>
      <c r="C2" s="2"/>
      <c r="D2" s="2"/>
      <c r="E2" s="2"/>
      <c r="F2" s="2"/>
      <c r="G2" s="2"/>
      <c r="H2" s="2"/>
      <c r="I2" s="2"/>
      <c r="J2" s="2"/>
      <c r="N2" s="3" t="s">
        <v>0</v>
      </c>
    </row>
    <row r="3" spans="1:14" s="7" customFormat="1" ht="32">
      <c r="A3" s="15" t="s">
        <v>1</v>
      </c>
      <c r="B3" s="15" t="s">
        <v>2</v>
      </c>
      <c r="C3" s="16" t="s">
        <v>3</v>
      </c>
      <c r="D3" s="15" t="s">
        <v>4</v>
      </c>
      <c r="E3" s="15" t="s">
        <v>5</v>
      </c>
      <c r="F3" s="15" t="s">
        <v>20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21</v>
      </c>
      <c r="M3" s="15" t="s">
        <v>22</v>
      </c>
      <c r="N3" s="17" t="s">
        <v>15</v>
      </c>
    </row>
    <row r="4" spans="1:14" ht="20.25" customHeight="1">
      <c r="A4" s="9" t="s">
        <v>16</v>
      </c>
      <c r="B4" s="8">
        <v>28333</v>
      </c>
      <c r="C4" s="8">
        <v>0</v>
      </c>
      <c r="D4" s="8">
        <v>3400</v>
      </c>
      <c r="E4" s="8">
        <v>600</v>
      </c>
      <c r="F4" s="8"/>
      <c r="G4" s="8">
        <v>-125.33</v>
      </c>
      <c r="H4" s="8">
        <v>-22</v>
      </c>
      <c r="I4" s="8">
        <v>-501.3</v>
      </c>
      <c r="J4" s="8">
        <v>-2005.2</v>
      </c>
      <c r="K4" s="8">
        <v>-3303</v>
      </c>
      <c r="L4" s="8">
        <v>0</v>
      </c>
      <c r="M4" s="8">
        <v>-4175.4399999999996</v>
      </c>
      <c r="N4" s="10">
        <v>22200.73</v>
      </c>
    </row>
    <row r="5" spans="1:14" ht="18" customHeight="1">
      <c r="A5" s="9" t="s">
        <v>16</v>
      </c>
      <c r="B5" s="8">
        <v>27083</v>
      </c>
      <c r="C5" s="8">
        <v>0</v>
      </c>
      <c r="D5" s="8">
        <v>3200</v>
      </c>
      <c r="E5" s="8">
        <v>500</v>
      </c>
      <c r="F5" s="8"/>
      <c r="G5" s="8">
        <v>-125.33</v>
      </c>
      <c r="H5" s="8">
        <v>-22</v>
      </c>
      <c r="I5" s="8">
        <v>-501.3</v>
      </c>
      <c r="J5" s="8">
        <v>-2005.2</v>
      </c>
      <c r="K5" s="8">
        <v>-3294</v>
      </c>
      <c r="L5" s="8">
        <v>0</v>
      </c>
      <c r="M5" s="8">
        <v>-4867.24</v>
      </c>
      <c r="N5" s="10">
        <v>19967.93</v>
      </c>
    </row>
    <row r="6" spans="1:14" ht="18" customHeight="1">
      <c r="A6" s="9" t="s">
        <v>17</v>
      </c>
      <c r="B6" s="8">
        <v>10821.5</v>
      </c>
      <c r="C6" s="8">
        <v>8657.2000000000007</v>
      </c>
      <c r="D6" s="8">
        <v>0</v>
      </c>
      <c r="E6" s="8">
        <v>0</v>
      </c>
      <c r="F6" s="8"/>
      <c r="G6" s="8">
        <v>-108.3</v>
      </c>
      <c r="H6" s="8">
        <v>-22</v>
      </c>
      <c r="I6" s="8">
        <v>-433.2</v>
      </c>
      <c r="J6" s="8">
        <v>-1732.8</v>
      </c>
      <c r="K6" s="8">
        <v>-2599</v>
      </c>
      <c r="L6" s="8">
        <v>0</v>
      </c>
      <c r="M6" s="8">
        <v>-407.53</v>
      </c>
      <c r="N6" s="10">
        <v>14175.87</v>
      </c>
    </row>
    <row r="7" spans="1:14" ht="18" customHeight="1">
      <c r="A7" s="9" t="s">
        <v>17</v>
      </c>
      <c r="B7" s="8">
        <v>11246</v>
      </c>
      <c r="C7" s="8">
        <v>8996.8000000000011</v>
      </c>
      <c r="D7" s="8">
        <v>0</v>
      </c>
      <c r="E7" s="8">
        <v>0</v>
      </c>
      <c r="F7" s="8"/>
      <c r="G7" s="8">
        <v>-112.55</v>
      </c>
      <c r="H7" s="8">
        <v>-22</v>
      </c>
      <c r="I7" s="8">
        <v>-450.18</v>
      </c>
      <c r="J7" s="8">
        <v>-1800.72</v>
      </c>
      <c r="K7" s="8">
        <v>-2701</v>
      </c>
      <c r="L7" s="8">
        <v>0</v>
      </c>
      <c r="M7" s="8">
        <v>-364.72</v>
      </c>
      <c r="N7" s="10">
        <v>14791.630000000003</v>
      </c>
    </row>
    <row r="8" spans="1:14" ht="18" customHeight="1">
      <c r="A8" s="9" t="s">
        <v>18</v>
      </c>
      <c r="B8" s="8">
        <v>6250</v>
      </c>
      <c r="C8" s="8">
        <v>5500.0000000000009</v>
      </c>
      <c r="D8" s="8">
        <v>0</v>
      </c>
      <c r="E8" s="8">
        <v>0</v>
      </c>
      <c r="F8" s="8"/>
      <c r="G8" s="8">
        <v>-93.84</v>
      </c>
      <c r="H8" s="8">
        <v>-22</v>
      </c>
      <c r="I8" s="8">
        <v>-375.34</v>
      </c>
      <c r="J8" s="8">
        <v>-1501.36</v>
      </c>
      <c r="K8" s="8">
        <v>-2888</v>
      </c>
      <c r="L8" s="8">
        <v>0</v>
      </c>
      <c r="M8" s="8">
        <v>0</v>
      </c>
      <c r="N8" s="10">
        <v>6869.4599999999991</v>
      </c>
    </row>
    <row r="9" spans="1:14" ht="18" customHeight="1">
      <c r="A9" s="9" t="s">
        <v>17</v>
      </c>
      <c r="B9" s="8">
        <v>12500</v>
      </c>
      <c r="C9" s="8">
        <v>10000</v>
      </c>
      <c r="D9" s="8">
        <v>0</v>
      </c>
      <c r="E9" s="8">
        <v>0</v>
      </c>
      <c r="F9" s="8"/>
      <c r="G9" s="8">
        <v>-125.33</v>
      </c>
      <c r="H9" s="8">
        <v>-22</v>
      </c>
      <c r="I9" s="8">
        <v>-501.3</v>
      </c>
      <c r="J9" s="8">
        <v>-2005.2</v>
      </c>
      <c r="K9" s="8">
        <v>-3000</v>
      </c>
      <c r="L9" s="8">
        <v>0</v>
      </c>
      <c r="M9" s="8">
        <v>-355.41</v>
      </c>
      <c r="N9" s="10">
        <v>16490.759999999998</v>
      </c>
    </row>
    <row r="10" spans="1:14" ht="18" customHeight="1">
      <c r="A10" s="9" t="s">
        <v>17</v>
      </c>
      <c r="B10" s="8">
        <v>9494</v>
      </c>
      <c r="C10" s="8">
        <v>7595.2000000000007</v>
      </c>
      <c r="D10" s="8">
        <v>0</v>
      </c>
      <c r="E10" s="8">
        <v>0</v>
      </c>
      <c r="F10" s="8"/>
      <c r="G10" s="8">
        <v>-95.03</v>
      </c>
      <c r="H10" s="8">
        <v>-22</v>
      </c>
      <c r="I10" s="8">
        <v>-380.1</v>
      </c>
      <c r="J10" s="8">
        <v>-1520.4</v>
      </c>
      <c r="K10" s="8">
        <v>-2279</v>
      </c>
      <c r="L10" s="8">
        <v>0</v>
      </c>
      <c r="M10" s="8">
        <v>-128.81</v>
      </c>
      <c r="N10" s="10">
        <v>12663.860000000004</v>
      </c>
    </row>
    <row r="11" spans="1:14" ht="18" customHeight="1">
      <c r="A11" s="9" t="s">
        <v>17</v>
      </c>
      <c r="B11" s="8">
        <v>11870.5</v>
      </c>
      <c r="C11" s="8">
        <v>9496.4</v>
      </c>
      <c r="D11" s="8">
        <v>0</v>
      </c>
      <c r="E11" s="8">
        <v>0</v>
      </c>
      <c r="F11" s="8"/>
      <c r="G11" s="8">
        <v>-118.79</v>
      </c>
      <c r="H11" s="8">
        <v>-22</v>
      </c>
      <c r="I11" s="8">
        <v>-475.16</v>
      </c>
      <c r="J11" s="8">
        <v>-1900.64</v>
      </c>
      <c r="K11" s="8">
        <v>-2851</v>
      </c>
      <c r="L11" s="8">
        <v>0</v>
      </c>
      <c r="M11" s="8">
        <v>-480.01</v>
      </c>
      <c r="N11" s="10">
        <v>15519.300000000001</v>
      </c>
    </row>
    <row r="12" spans="1:14" ht="18" customHeight="1">
      <c r="A12" s="9" t="s">
        <v>17</v>
      </c>
      <c r="B12" s="8">
        <v>11500</v>
      </c>
      <c r="C12" s="8">
        <v>9200</v>
      </c>
      <c r="D12" s="8">
        <v>0</v>
      </c>
      <c r="E12" s="8">
        <v>0</v>
      </c>
      <c r="F12" s="8"/>
      <c r="G12" s="8">
        <v>-115.97</v>
      </c>
      <c r="H12" s="8">
        <v>-22</v>
      </c>
      <c r="I12" s="8">
        <v>-463.86</v>
      </c>
      <c r="J12" s="8">
        <v>-1855.44</v>
      </c>
      <c r="K12" s="8">
        <v>-2783</v>
      </c>
      <c r="L12" s="8">
        <v>0</v>
      </c>
      <c r="M12" s="8">
        <v>-208.82</v>
      </c>
      <c r="N12" s="10">
        <v>15250.91</v>
      </c>
    </row>
    <row r="13" spans="1:14" ht="18" customHeight="1">
      <c r="A13" s="9" t="s">
        <v>18</v>
      </c>
      <c r="B13" s="8">
        <v>5291.5</v>
      </c>
      <c r="C13" s="8">
        <v>3386.56</v>
      </c>
      <c r="D13" s="8">
        <v>0</v>
      </c>
      <c r="E13" s="8">
        <v>0</v>
      </c>
      <c r="F13" s="8"/>
      <c r="G13" s="8">
        <v>-53</v>
      </c>
      <c r="H13" s="8">
        <v>-22</v>
      </c>
      <c r="I13" s="8">
        <v>-212</v>
      </c>
      <c r="J13" s="8">
        <v>-848</v>
      </c>
      <c r="K13" s="8">
        <v>-1272</v>
      </c>
      <c r="L13" s="8">
        <v>0</v>
      </c>
      <c r="M13" s="8">
        <v>-188.16</v>
      </c>
      <c r="N13" s="10">
        <v>6082.9</v>
      </c>
    </row>
    <row r="14" spans="1:14" ht="18" customHeight="1">
      <c r="A14" s="9" t="s">
        <v>17</v>
      </c>
      <c r="B14" s="8">
        <v>10600</v>
      </c>
      <c r="C14" s="8">
        <v>8480</v>
      </c>
      <c r="D14" s="8">
        <v>0</v>
      </c>
      <c r="E14" s="8">
        <v>0</v>
      </c>
      <c r="F14" s="8"/>
      <c r="G14" s="8">
        <v>-125.33</v>
      </c>
      <c r="H14" s="8">
        <v>-22</v>
      </c>
      <c r="I14" s="8">
        <v>-501.3</v>
      </c>
      <c r="J14" s="8">
        <v>-2005.2</v>
      </c>
      <c r="K14" s="8">
        <v>-2539</v>
      </c>
      <c r="L14" s="8">
        <v>0</v>
      </c>
      <c r="M14" s="8">
        <v>-326.64999999999998</v>
      </c>
      <c r="N14" s="10">
        <v>13560.519999999999</v>
      </c>
    </row>
    <row r="15" spans="1:14" ht="18" customHeight="1">
      <c r="A15" s="9" t="s">
        <v>19</v>
      </c>
      <c r="B15" s="8">
        <v>4250</v>
      </c>
      <c r="C15" s="8">
        <v>3740</v>
      </c>
      <c r="D15" s="8">
        <v>0</v>
      </c>
      <c r="E15" s="8">
        <v>0</v>
      </c>
      <c r="F15" s="8"/>
      <c r="G15" s="8">
        <v>-42.5</v>
      </c>
      <c r="H15" s="8">
        <v>-22</v>
      </c>
      <c r="I15" s="8">
        <v>-170</v>
      </c>
      <c r="J15" s="8">
        <v>-680</v>
      </c>
      <c r="K15" s="8">
        <v>-1020</v>
      </c>
      <c r="L15" s="8">
        <v>0</v>
      </c>
      <c r="M15" s="8">
        <v>-31.69</v>
      </c>
      <c r="N15" s="10">
        <v>6023.81</v>
      </c>
    </row>
    <row r="16" spans="1:14" ht="17.25" customHeight="1">
      <c r="A16" s="13" t="s">
        <v>23</v>
      </c>
      <c r="B16" s="11">
        <v>149239.5</v>
      </c>
      <c r="C16" s="11">
        <v>75052.160000000003</v>
      </c>
      <c r="D16" s="11">
        <v>6600</v>
      </c>
      <c r="E16" s="11">
        <v>1100</v>
      </c>
      <c r="F16" s="11">
        <v>0</v>
      </c>
      <c r="G16" s="11">
        <v>-1241.3</v>
      </c>
      <c r="H16" s="11">
        <v>-264</v>
      </c>
      <c r="I16" s="11">
        <v>-4965.04</v>
      </c>
      <c r="J16" s="11">
        <v>-19860.16</v>
      </c>
      <c r="K16" s="11">
        <v>-30529</v>
      </c>
      <c r="L16" s="11">
        <v>0</v>
      </c>
      <c r="M16" s="11">
        <v>-11534.48</v>
      </c>
      <c r="N16" s="11">
        <v>163597.67999999996</v>
      </c>
    </row>
    <row r="18" spans="6:14" ht="16">
      <c r="F18" s="20"/>
      <c r="G18" s="20"/>
      <c r="M18" s="12"/>
      <c r="N18" s="1"/>
    </row>
    <row r="19" spans="6:14">
      <c r="M19" s="12"/>
      <c r="N19" s="1"/>
    </row>
    <row r="20" spans="6:14">
      <c r="M20" s="12"/>
      <c r="N20" s="1"/>
    </row>
    <row r="21" spans="6:14">
      <c r="M21" s="12"/>
      <c r="N21" s="1"/>
    </row>
  </sheetData>
  <mergeCells count="1">
    <mergeCell ref="F18:G18"/>
  </mergeCells>
  <phoneticPr fontId="4" type="noConversion"/>
  <pageMargins left="0.31496062992126" right="0.196850393700787" top="0.74803149606299202" bottom="0.74803149606299202" header="0.31496062992126" footer="0.31496062992126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D672-76FA-4A83-AA45-6A3817C11DFB}">
  <sheetPr>
    <tabColor rgb="FFFFC000"/>
  </sheetPr>
  <dimension ref="A1:N22"/>
  <sheetViews>
    <sheetView workbookViewId="0"/>
  </sheetViews>
  <sheetFormatPr baseColWidth="10" defaultColWidth="9" defaultRowHeight="15"/>
  <cols>
    <col min="1" max="1" width="11" style="1" bestFit="1" customWidth="1"/>
    <col min="2" max="2" width="10.5" style="1" bestFit="1" customWidth="1"/>
    <col min="3" max="3" width="8.6640625" style="1" customWidth="1"/>
    <col min="4" max="4" width="8.83203125" style="1" customWidth="1"/>
    <col min="5" max="6" width="9.83203125" style="1" customWidth="1"/>
    <col min="7" max="7" width="9.5" style="1" customWidth="1"/>
    <col min="8" max="8" width="8.5" style="1" bestFit="1" customWidth="1"/>
    <col min="9" max="9" width="9.1640625" style="1" customWidth="1"/>
    <col min="10" max="10" width="11.6640625" style="1" customWidth="1"/>
    <col min="11" max="11" width="10.5" style="1" bestFit="1" customWidth="1"/>
    <col min="12" max="12" width="9" style="1" hidden="1" customWidth="1"/>
    <col min="13" max="13" width="10.5" style="1" bestFit="1" customWidth="1"/>
    <col min="14" max="14" width="16.1640625" style="12" customWidth="1"/>
    <col min="15" max="15" width="9" style="1" customWidth="1"/>
    <col min="16" max="207" width="9" style="1"/>
    <col min="208" max="208" width="6.6640625" style="1" customWidth="1"/>
    <col min="209" max="209" width="6.33203125" style="1" customWidth="1"/>
    <col min="210" max="213" width="8" style="1" customWidth="1"/>
    <col min="214" max="214" width="7.5" style="1" customWidth="1"/>
    <col min="215" max="216" width="8" style="1" customWidth="1"/>
    <col min="217" max="218" width="7.6640625" style="1" customWidth="1"/>
    <col min="219" max="219" width="9.6640625" style="1" customWidth="1"/>
    <col min="220" max="220" width="8.5" style="1" customWidth="1"/>
    <col min="221" max="221" width="7.6640625" style="1" customWidth="1"/>
    <col min="222" max="222" width="6.33203125" style="1" customWidth="1"/>
    <col min="223" max="223" width="8" style="1" customWidth="1"/>
    <col min="224" max="224" width="9.6640625" style="1" customWidth="1"/>
    <col min="225" max="225" width="8.5" style="1" customWidth="1"/>
    <col min="226" max="463" width="9" style="1"/>
    <col min="464" max="464" width="6.6640625" style="1" customWidth="1"/>
    <col min="465" max="465" width="6.33203125" style="1" customWidth="1"/>
    <col min="466" max="469" width="8" style="1" customWidth="1"/>
    <col min="470" max="470" width="7.5" style="1" customWidth="1"/>
    <col min="471" max="472" width="8" style="1" customWidth="1"/>
    <col min="473" max="474" width="7.6640625" style="1" customWidth="1"/>
    <col min="475" max="475" width="9.6640625" style="1" customWidth="1"/>
    <col min="476" max="476" width="8.5" style="1" customWidth="1"/>
    <col min="477" max="477" width="7.6640625" style="1" customWidth="1"/>
    <col min="478" max="478" width="6.33203125" style="1" customWidth="1"/>
    <col min="479" max="479" width="8" style="1" customWidth="1"/>
    <col min="480" max="480" width="9.6640625" style="1" customWidth="1"/>
    <col min="481" max="481" width="8.5" style="1" customWidth="1"/>
    <col min="482" max="719" width="9" style="1"/>
    <col min="720" max="720" width="6.6640625" style="1" customWidth="1"/>
    <col min="721" max="721" width="6.33203125" style="1" customWidth="1"/>
    <col min="722" max="725" width="8" style="1" customWidth="1"/>
    <col min="726" max="726" width="7.5" style="1" customWidth="1"/>
    <col min="727" max="728" width="8" style="1" customWidth="1"/>
    <col min="729" max="730" width="7.6640625" style="1" customWidth="1"/>
    <col min="731" max="731" width="9.6640625" style="1" customWidth="1"/>
    <col min="732" max="732" width="8.5" style="1" customWidth="1"/>
    <col min="733" max="733" width="7.6640625" style="1" customWidth="1"/>
    <col min="734" max="734" width="6.33203125" style="1" customWidth="1"/>
    <col min="735" max="735" width="8" style="1" customWidth="1"/>
    <col min="736" max="736" width="9.6640625" style="1" customWidth="1"/>
    <col min="737" max="737" width="8.5" style="1" customWidth="1"/>
    <col min="738" max="975" width="9" style="1"/>
    <col min="976" max="976" width="6.6640625" style="1" customWidth="1"/>
    <col min="977" max="977" width="6.33203125" style="1" customWidth="1"/>
    <col min="978" max="981" width="8" style="1" customWidth="1"/>
    <col min="982" max="982" width="7.5" style="1" customWidth="1"/>
    <col min="983" max="984" width="8" style="1" customWidth="1"/>
    <col min="985" max="986" width="7.6640625" style="1" customWidth="1"/>
    <col min="987" max="987" width="9.6640625" style="1" customWidth="1"/>
    <col min="988" max="988" width="8.5" style="1" customWidth="1"/>
    <col min="989" max="989" width="7.6640625" style="1" customWidth="1"/>
    <col min="990" max="990" width="6.33203125" style="1" customWidth="1"/>
    <col min="991" max="991" width="8" style="1" customWidth="1"/>
    <col min="992" max="992" width="9.6640625" style="1" customWidth="1"/>
    <col min="993" max="993" width="8.5" style="1" customWidth="1"/>
    <col min="994" max="1231" width="9" style="1"/>
    <col min="1232" max="1232" width="6.6640625" style="1" customWidth="1"/>
    <col min="1233" max="1233" width="6.33203125" style="1" customWidth="1"/>
    <col min="1234" max="1237" width="8" style="1" customWidth="1"/>
    <col min="1238" max="1238" width="7.5" style="1" customWidth="1"/>
    <col min="1239" max="1240" width="8" style="1" customWidth="1"/>
    <col min="1241" max="1242" width="7.6640625" style="1" customWidth="1"/>
    <col min="1243" max="1243" width="9.6640625" style="1" customWidth="1"/>
    <col min="1244" max="1244" width="8.5" style="1" customWidth="1"/>
    <col min="1245" max="1245" width="7.6640625" style="1" customWidth="1"/>
    <col min="1246" max="1246" width="6.33203125" style="1" customWidth="1"/>
    <col min="1247" max="1247" width="8" style="1" customWidth="1"/>
    <col min="1248" max="1248" width="9.6640625" style="1" customWidth="1"/>
    <col min="1249" max="1249" width="8.5" style="1" customWidth="1"/>
    <col min="1250" max="1487" width="9" style="1"/>
    <col min="1488" max="1488" width="6.6640625" style="1" customWidth="1"/>
    <col min="1489" max="1489" width="6.33203125" style="1" customWidth="1"/>
    <col min="1490" max="1493" width="8" style="1" customWidth="1"/>
    <col min="1494" max="1494" width="7.5" style="1" customWidth="1"/>
    <col min="1495" max="1496" width="8" style="1" customWidth="1"/>
    <col min="1497" max="1498" width="7.6640625" style="1" customWidth="1"/>
    <col min="1499" max="1499" width="9.6640625" style="1" customWidth="1"/>
    <col min="1500" max="1500" width="8.5" style="1" customWidth="1"/>
    <col min="1501" max="1501" width="7.6640625" style="1" customWidth="1"/>
    <col min="1502" max="1502" width="6.33203125" style="1" customWidth="1"/>
    <col min="1503" max="1503" width="8" style="1" customWidth="1"/>
    <col min="1504" max="1504" width="9.6640625" style="1" customWidth="1"/>
    <col min="1505" max="1505" width="8.5" style="1" customWidth="1"/>
    <col min="1506" max="1743" width="9" style="1"/>
    <col min="1744" max="1744" width="6.6640625" style="1" customWidth="1"/>
    <col min="1745" max="1745" width="6.33203125" style="1" customWidth="1"/>
    <col min="1746" max="1749" width="8" style="1" customWidth="1"/>
    <col min="1750" max="1750" width="7.5" style="1" customWidth="1"/>
    <col min="1751" max="1752" width="8" style="1" customWidth="1"/>
    <col min="1753" max="1754" width="7.6640625" style="1" customWidth="1"/>
    <col min="1755" max="1755" width="9.6640625" style="1" customWidth="1"/>
    <col min="1756" max="1756" width="8.5" style="1" customWidth="1"/>
    <col min="1757" max="1757" width="7.6640625" style="1" customWidth="1"/>
    <col min="1758" max="1758" width="6.33203125" style="1" customWidth="1"/>
    <col min="1759" max="1759" width="8" style="1" customWidth="1"/>
    <col min="1760" max="1760" width="9.6640625" style="1" customWidth="1"/>
    <col min="1761" max="1761" width="8.5" style="1" customWidth="1"/>
    <col min="1762" max="1999" width="9" style="1"/>
    <col min="2000" max="2000" width="6.6640625" style="1" customWidth="1"/>
    <col min="2001" max="2001" width="6.33203125" style="1" customWidth="1"/>
    <col min="2002" max="2005" width="8" style="1" customWidth="1"/>
    <col min="2006" max="2006" width="7.5" style="1" customWidth="1"/>
    <col min="2007" max="2008" width="8" style="1" customWidth="1"/>
    <col min="2009" max="2010" width="7.6640625" style="1" customWidth="1"/>
    <col min="2011" max="2011" width="9.6640625" style="1" customWidth="1"/>
    <col min="2012" max="2012" width="8.5" style="1" customWidth="1"/>
    <col min="2013" max="2013" width="7.6640625" style="1" customWidth="1"/>
    <col min="2014" max="2014" width="6.33203125" style="1" customWidth="1"/>
    <col min="2015" max="2015" width="8" style="1" customWidth="1"/>
    <col min="2016" max="2016" width="9.6640625" style="1" customWidth="1"/>
    <col min="2017" max="2017" width="8.5" style="1" customWidth="1"/>
    <col min="2018" max="2255" width="9" style="1"/>
    <col min="2256" max="2256" width="6.6640625" style="1" customWidth="1"/>
    <col min="2257" max="2257" width="6.33203125" style="1" customWidth="1"/>
    <col min="2258" max="2261" width="8" style="1" customWidth="1"/>
    <col min="2262" max="2262" width="7.5" style="1" customWidth="1"/>
    <col min="2263" max="2264" width="8" style="1" customWidth="1"/>
    <col min="2265" max="2266" width="7.6640625" style="1" customWidth="1"/>
    <col min="2267" max="2267" width="9.6640625" style="1" customWidth="1"/>
    <col min="2268" max="2268" width="8.5" style="1" customWidth="1"/>
    <col min="2269" max="2269" width="7.6640625" style="1" customWidth="1"/>
    <col min="2270" max="2270" width="6.33203125" style="1" customWidth="1"/>
    <col min="2271" max="2271" width="8" style="1" customWidth="1"/>
    <col min="2272" max="2272" width="9.6640625" style="1" customWidth="1"/>
    <col min="2273" max="2273" width="8.5" style="1" customWidth="1"/>
    <col min="2274" max="2511" width="9" style="1"/>
    <col min="2512" max="2512" width="6.6640625" style="1" customWidth="1"/>
    <col min="2513" max="2513" width="6.33203125" style="1" customWidth="1"/>
    <col min="2514" max="2517" width="8" style="1" customWidth="1"/>
    <col min="2518" max="2518" width="7.5" style="1" customWidth="1"/>
    <col min="2519" max="2520" width="8" style="1" customWidth="1"/>
    <col min="2521" max="2522" width="7.6640625" style="1" customWidth="1"/>
    <col min="2523" max="2523" width="9.6640625" style="1" customWidth="1"/>
    <col min="2524" max="2524" width="8.5" style="1" customWidth="1"/>
    <col min="2525" max="2525" width="7.6640625" style="1" customWidth="1"/>
    <col min="2526" max="2526" width="6.33203125" style="1" customWidth="1"/>
    <col min="2527" max="2527" width="8" style="1" customWidth="1"/>
    <col min="2528" max="2528" width="9.6640625" style="1" customWidth="1"/>
    <col min="2529" max="2529" width="8.5" style="1" customWidth="1"/>
    <col min="2530" max="2767" width="9" style="1"/>
    <col min="2768" max="2768" width="6.6640625" style="1" customWidth="1"/>
    <col min="2769" max="2769" width="6.33203125" style="1" customWidth="1"/>
    <col min="2770" max="2773" width="8" style="1" customWidth="1"/>
    <col min="2774" max="2774" width="7.5" style="1" customWidth="1"/>
    <col min="2775" max="2776" width="8" style="1" customWidth="1"/>
    <col min="2777" max="2778" width="7.6640625" style="1" customWidth="1"/>
    <col min="2779" max="2779" width="9.6640625" style="1" customWidth="1"/>
    <col min="2780" max="2780" width="8.5" style="1" customWidth="1"/>
    <col min="2781" max="2781" width="7.6640625" style="1" customWidth="1"/>
    <col min="2782" max="2782" width="6.33203125" style="1" customWidth="1"/>
    <col min="2783" max="2783" width="8" style="1" customWidth="1"/>
    <col min="2784" max="2784" width="9.6640625" style="1" customWidth="1"/>
    <col min="2785" max="2785" width="8.5" style="1" customWidth="1"/>
    <col min="2786" max="3023" width="9" style="1"/>
    <col min="3024" max="3024" width="6.6640625" style="1" customWidth="1"/>
    <col min="3025" max="3025" width="6.33203125" style="1" customWidth="1"/>
    <col min="3026" max="3029" width="8" style="1" customWidth="1"/>
    <col min="3030" max="3030" width="7.5" style="1" customWidth="1"/>
    <col min="3031" max="3032" width="8" style="1" customWidth="1"/>
    <col min="3033" max="3034" width="7.6640625" style="1" customWidth="1"/>
    <col min="3035" max="3035" width="9.6640625" style="1" customWidth="1"/>
    <col min="3036" max="3036" width="8.5" style="1" customWidth="1"/>
    <col min="3037" max="3037" width="7.6640625" style="1" customWidth="1"/>
    <col min="3038" max="3038" width="6.33203125" style="1" customWidth="1"/>
    <col min="3039" max="3039" width="8" style="1" customWidth="1"/>
    <col min="3040" max="3040" width="9.6640625" style="1" customWidth="1"/>
    <col min="3041" max="3041" width="8.5" style="1" customWidth="1"/>
    <col min="3042" max="3279" width="9" style="1"/>
    <col min="3280" max="3280" width="6.6640625" style="1" customWidth="1"/>
    <col min="3281" max="3281" width="6.33203125" style="1" customWidth="1"/>
    <col min="3282" max="3285" width="8" style="1" customWidth="1"/>
    <col min="3286" max="3286" width="7.5" style="1" customWidth="1"/>
    <col min="3287" max="3288" width="8" style="1" customWidth="1"/>
    <col min="3289" max="3290" width="7.6640625" style="1" customWidth="1"/>
    <col min="3291" max="3291" width="9.6640625" style="1" customWidth="1"/>
    <col min="3292" max="3292" width="8.5" style="1" customWidth="1"/>
    <col min="3293" max="3293" width="7.6640625" style="1" customWidth="1"/>
    <col min="3294" max="3294" width="6.33203125" style="1" customWidth="1"/>
    <col min="3295" max="3295" width="8" style="1" customWidth="1"/>
    <col min="3296" max="3296" width="9.6640625" style="1" customWidth="1"/>
    <col min="3297" max="3297" width="8.5" style="1" customWidth="1"/>
    <col min="3298" max="3535" width="9" style="1"/>
    <col min="3536" max="3536" width="6.6640625" style="1" customWidth="1"/>
    <col min="3537" max="3537" width="6.33203125" style="1" customWidth="1"/>
    <col min="3538" max="3541" width="8" style="1" customWidth="1"/>
    <col min="3542" max="3542" width="7.5" style="1" customWidth="1"/>
    <col min="3543" max="3544" width="8" style="1" customWidth="1"/>
    <col min="3545" max="3546" width="7.6640625" style="1" customWidth="1"/>
    <col min="3547" max="3547" width="9.6640625" style="1" customWidth="1"/>
    <col min="3548" max="3548" width="8.5" style="1" customWidth="1"/>
    <col min="3549" max="3549" width="7.6640625" style="1" customWidth="1"/>
    <col min="3550" max="3550" width="6.33203125" style="1" customWidth="1"/>
    <col min="3551" max="3551" width="8" style="1" customWidth="1"/>
    <col min="3552" max="3552" width="9.6640625" style="1" customWidth="1"/>
    <col min="3553" max="3553" width="8.5" style="1" customWidth="1"/>
    <col min="3554" max="3791" width="9" style="1"/>
    <col min="3792" max="3792" width="6.6640625" style="1" customWidth="1"/>
    <col min="3793" max="3793" width="6.33203125" style="1" customWidth="1"/>
    <col min="3794" max="3797" width="8" style="1" customWidth="1"/>
    <col min="3798" max="3798" width="7.5" style="1" customWidth="1"/>
    <col min="3799" max="3800" width="8" style="1" customWidth="1"/>
    <col min="3801" max="3802" width="7.6640625" style="1" customWidth="1"/>
    <col min="3803" max="3803" width="9.6640625" style="1" customWidth="1"/>
    <col min="3804" max="3804" width="8.5" style="1" customWidth="1"/>
    <col min="3805" max="3805" width="7.6640625" style="1" customWidth="1"/>
    <col min="3806" max="3806" width="6.33203125" style="1" customWidth="1"/>
    <col min="3807" max="3807" width="8" style="1" customWidth="1"/>
    <col min="3808" max="3808" width="9.6640625" style="1" customWidth="1"/>
    <col min="3809" max="3809" width="8.5" style="1" customWidth="1"/>
    <col min="3810" max="4047" width="9" style="1"/>
    <col min="4048" max="4048" width="6.6640625" style="1" customWidth="1"/>
    <col min="4049" max="4049" width="6.33203125" style="1" customWidth="1"/>
    <col min="4050" max="4053" width="8" style="1" customWidth="1"/>
    <col min="4054" max="4054" width="7.5" style="1" customWidth="1"/>
    <col min="4055" max="4056" width="8" style="1" customWidth="1"/>
    <col min="4057" max="4058" width="7.6640625" style="1" customWidth="1"/>
    <col min="4059" max="4059" width="9.6640625" style="1" customWidth="1"/>
    <col min="4060" max="4060" width="8.5" style="1" customWidth="1"/>
    <col min="4061" max="4061" width="7.6640625" style="1" customWidth="1"/>
    <col min="4062" max="4062" width="6.33203125" style="1" customWidth="1"/>
    <col min="4063" max="4063" width="8" style="1" customWidth="1"/>
    <col min="4064" max="4064" width="9.6640625" style="1" customWidth="1"/>
    <col min="4065" max="4065" width="8.5" style="1" customWidth="1"/>
    <col min="4066" max="4303" width="9" style="1"/>
    <col min="4304" max="4304" width="6.6640625" style="1" customWidth="1"/>
    <col min="4305" max="4305" width="6.33203125" style="1" customWidth="1"/>
    <col min="4306" max="4309" width="8" style="1" customWidth="1"/>
    <col min="4310" max="4310" width="7.5" style="1" customWidth="1"/>
    <col min="4311" max="4312" width="8" style="1" customWidth="1"/>
    <col min="4313" max="4314" width="7.6640625" style="1" customWidth="1"/>
    <col min="4315" max="4315" width="9.6640625" style="1" customWidth="1"/>
    <col min="4316" max="4316" width="8.5" style="1" customWidth="1"/>
    <col min="4317" max="4317" width="7.6640625" style="1" customWidth="1"/>
    <col min="4318" max="4318" width="6.33203125" style="1" customWidth="1"/>
    <col min="4319" max="4319" width="8" style="1" customWidth="1"/>
    <col min="4320" max="4320" width="9.6640625" style="1" customWidth="1"/>
    <col min="4321" max="4321" width="8.5" style="1" customWidth="1"/>
    <col min="4322" max="4559" width="9" style="1"/>
    <col min="4560" max="4560" width="6.6640625" style="1" customWidth="1"/>
    <col min="4561" max="4561" width="6.33203125" style="1" customWidth="1"/>
    <col min="4562" max="4565" width="8" style="1" customWidth="1"/>
    <col min="4566" max="4566" width="7.5" style="1" customWidth="1"/>
    <col min="4567" max="4568" width="8" style="1" customWidth="1"/>
    <col min="4569" max="4570" width="7.6640625" style="1" customWidth="1"/>
    <col min="4571" max="4571" width="9.6640625" style="1" customWidth="1"/>
    <col min="4572" max="4572" width="8.5" style="1" customWidth="1"/>
    <col min="4573" max="4573" width="7.6640625" style="1" customWidth="1"/>
    <col min="4574" max="4574" width="6.33203125" style="1" customWidth="1"/>
    <col min="4575" max="4575" width="8" style="1" customWidth="1"/>
    <col min="4576" max="4576" width="9.6640625" style="1" customWidth="1"/>
    <col min="4577" max="4577" width="8.5" style="1" customWidth="1"/>
    <col min="4578" max="4815" width="9" style="1"/>
    <col min="4816" max="4816" width="6.6640625" style="1" customWidth="1"/>
    <col min="4817" max="4817" width="6.33203125" style="1" customWidth="1"/>
    <col min="4818" max="4821" width="8" style="1" customWidth="1"/>
    <col min="4822" max="4822" width="7.5" style="1" customWidth="1"/>
    <col min="4823" max="4824" width="8" style="1" customWidth="1"/>
    <col min="4825" max="4826" width="7.6640625" style="1" customWidth="1"/>
    <col min="4827" max="4827" width="9.6640625" style="1" customWidth="1"/>
    <col min="4828" max="4828" width="8.5" style="1" customWidth="1"/>
    <col min="4829" max="4829" width="7.6640625" style="1" customWidth="1"/>
    <col min="4830" max="4830" width="6.33203125" style="1" customWidth="1"/>
    <col min="4831" max="4831" width="8" style="1" customWidth="1"/>
    <col min="4832" max="4832" width="9.6640625" style="1" customWidth="1"/>
    <col min="4833" max="4833" width="8.5" style="1" customWidth="1"/>
    <col min="4834" max="5071" width="9" style="1"/>
    <col min="5072" max="5072" width="6.6640625" style="1" customWidth="1"/>
    <col min="5073" max="5073" width="6.33203125" style="1" customWidth="1"/>
    <col min="5074" max="5077" width="8" style="1" customWidth="1"/>
    <col min="5078" max="5078" width="7.5" style="1" customWidth="1"/>
    <col min="5079" max="5080" width="8" style="1" customWidth="1"/>
    <col min="5081" max="5082" width="7.6640625" style="1" customWidth="1"/>
    <col min="5083" max="5083" width="9.6640625" style="1" customWidth="1"/>
    <col min="5084" max="5084" width="8.5" style="1" customWidth="1"/>
    <col min="5085" max="5085" width="7.6640625" style="1" customWidth="1"/>
    <col min="5086" max="5086" width="6.33203125" style="1" customWidth="1"/>
    <col min="5087" max="5087" width="8" style="1" customWidth="1"/>
    <col min="5088" max="5088" width="9.6640625" style="1" customWidth="1"/>
    <col min="5089" max="5089" width="8.5" style="1" customWidth="1"/>
    <col min="5090" max="5327" width="9" style="1"/>
    <col min="5328" max="5328" width="6.6640625" style="1" customWidth="1"/>
    <col min="5329" max="5329" width="6.33203125" style="1" customWidth="1"/>
    <col min="5330" max="5333" width="8" style="1" customWidth="1"/>
    <col min="5334" max="5334" width="7.5" style="1" customWidth="1"/>
    <col min="5335" max="5336" width="8" style="1" customWidth="1"/>
    <col min="5337" max="5338" width="7.6640625" style="1" customWidth="1"/>
    <col min="5339" max="5339" width="9.6640625" style="1" customWidth="1"/>
    <col min="5340" max="5340" width="8.5" style="1" customWidth="1"/>
    <col min="5341" max="5341" width="7.6640625" style="1" customWidth="1"/>
    <col min="5342" max="5342" width="6.33203125" style="1" customWidth="1"/>
    <col min="5343" max="5343" width="8" style="1" customWidth="1"/>
    <col min="5344" max="5344" width="9.6640625" style="1" customWidth="1"/>
    <col min="5345" max="5345" width="8.5" style="1" customWidth="1"/>
    <col min="5346" max="5583" width="9" style="1"/>
    <col min="5584" max="5584" width="6.6640625" style="1" customWidth="1"/>
    <col min="5585" max="5585" width="6.33203125" style="1" customWidth="1"/>
    <col min="5586" max="5589" width="8" style="1" customWidth="1"/>
    <col min="5590" max="5590" width="7.5" style="1" customWidth="1"/>
    <col min="5591" max="5592" width="8" style="1" customWidth="1"/>
    <col min="5593" max="5594" width="7.6640625" style="1" customWidth="1"/>
    <col min="5595" max="5595" width="9.6640625" style="1" customWidth="1"/>
    <col min="5596" max="5596" width="8.5" style="1" customWidth="1"/>
    <col min="5597" max="5597" width="7.6640625" style="1" customWidth="1"/>
    <col min="5598" max="5598" width="6.33203125" style="1" customWidth="1"/>
    <col min="5599" max="5599" width="8" style="1" customWidth="1"/>
    <col min="5600" max="5600" width="9.6640625" style="1" customWidth="1"/>
    <col min="5601" max="5601" width="8.5" style="1" customWidth="1"/>
    <col min="5602" max="5839" width="9" style="1"/>
    <col min="5840" max="5840" width="6.6640625" style="1" customWidth="1"/>
    <col min="5841" max="5841" width="6.33203125" style="1" customWidth="1"/>
    <col min="5842" max="5845" width="8" style="1" customWidth="1"/>
    <col min="5846" max="5846" width="7.5" style="1" customWidth="1"/>
    <col min="5847" max="5848" width="8" style="1" customWidth="1"/>
    <col min="5849" max="5850" width="7.6640625" style="1" customWidth="1"/>
    <col min="5851" max="5851" width="9.6640625" style="1" customWidth="1"/>
    <col min="5852" max="5852" width="8.5" style="1" customWidth="1"/>
    <col min="5853" max="5853" width="7.6640625" style="1" customWidth="1"/>
    <col min="5854" max="5854" width="6.33203125" style="1" customWidth="1"/>
    <col min="5855" max="5855" width="8" style="1" customWidth="1"/>
    <col min="5856" max="5856" width="9.6640625" style="1" customWidth="1"/>
    <col min="5857" max="5857" width="8.5" style="1" customWidth="1"/>
    <col min="5858" max="6095" width="9" style="1"/>
    <col min="6096" max="6096" width="6.6640625" style="1" customWidth="1"/>
    <col min="6097" max="6097" width="6.33203125" style="1" customWidth="1"/>
    <col min="6098" max="6101" width="8" style="1" customWidth="1"/>
    <col min="6102" max="6102" width="7.5" style="1" customWidth="1"/>
    <col min="6103" max="6104" width="8" style="1" customWidth="1"/>
    <col min="6105" max="6106" width="7.6640625" style="1" customWidth="1"/>
    <col min="6107" max="6107" width="9.6640625" style="1" customWidth="1"/>
    <col min="6108" max="6108" width="8.5" style="1" customWidth="1"/>
    <col min="6109" max="6109" width="7.6640625" style="1" customWidth="1"/>
    <col min="6110" max="6110" width="6.33203125" style="1" customWidth="1"/>
    <col min="6111" max="6111" width="8" style="1" customWidth="1"/>
    <col min="6112" max="6112" width="9.6640625" style="1" customWidth="1"/>
    <col min="6113" max="6113" width="8.5" style="1" customWidth="1"/>
    <col min="6114" max="6351" width="9" style="1"/>
    <col min="6352" max="6352" width="6.6640625" style="1" customWidth="1"/>
    <col min="6353" max="6353" width="6.33203125" style="1" customWidth="1"/>
    <col min="6354" max="6357" width="8" style="1" customWidth="1"/>
    <col min="6358" max="6358" width="7.5" style="1" customWidth="1"/>
    <col min="6359" max="6360" width="8" style="1" customWidth="1"/>
    <col min="6361" max="6362" width="7.6640625" style="1" customWidth="1"/>
    <col min="6363" max="6363" width="9.6640625" style="1" customWidth="1"/>
    <col min="6364" max="6364" width="8.5" style="1" customWidth="1"/>
    <col min="6365" max="6365" width="7.6640625" style="1" customWidth="1"/>
    <col min="6366" max="6366" width="6.33203125" style="1" customWidth="1"/>
    <col min="6367" max="6367" width="8" style="1" customWidth="1"/>
    <col min="6368" max="6368" width="9.6640625" style="1" customWidth="1"/>
    <col min="6369" max="6369" width="8.5" style="1" customWidth="1"/>
    <col min="6370" max="6607" width="9" style="1"/>
    <col min="6608" max="6608" width="6.6640625" style="1" customWidth="1"/>
    <col min="6609" max="6609" width="6.33203125" style="1" customWidth="1"/>
    <col min="6610" max="6613" width="8" style="1" customWidth="1"/>
    <col min="6614" max="6614" width="7.5" style="1" customWidth="1"/>
    <col min="6615" max="6616" width="8" style="1" customWidth="1"/>
    <col min="6617" max="6618" width="7.6640625" style="1" customWidth="1"/>
    <col min="6619" max="6619" width="9.6640625" style="1" customWidth="1"/>
    <col min="6620" max="6620" width="8.5" style="1" customWidth="1"/>
    <col min="6621" max="6621" width="7.6640625" style="1" customWidth="1"/>
    <col min="6622" max="6622" width="6.33203125" style="1" customWidth="1"/>
    <col min="6623" max="6623" width="8" style="1" customWidth="1"/>
    <col min="6624" max="6624" width="9.6640625" style="1" customWidth="1"/>
    <col min="6625" max="6625" width="8.5" style="1" customWidth="1"/>
    <col min="6626" max="6863" width="9" style="1"/>
    <col min="6864" max="6864" width="6.6640625" style="1" customWidth="1"/>
    <col min="6865" max="6865" width="6.33203125" style="1" customWidth="1"/>
    <col min="6866" max="6869" width="8" style="1" customWidth="1"/>
    <col min="6870" max="6870" width="7.5" style="1" customWidth="1"/>
    <col min="6871" max="6872" width="8" style="1" customWidth="1"/>
    <col min="6873" max="6874" width="7.6640625" style="1" customWidth="1"/>
    <col min="6875" max="6875" width="9.6640625" style="1" customWidth="1"/>
    <col min="6876" max="6876" width="8.5" style="1" customWidth="1"/>
    <col min="6877" max="6877" width="7.6640625" style="1" customWidth="1"/>
    <col min="6878" max="6878" width="6.33203125" style="1" customWidth="1"/>
    <col min="6879" max="6879" width="8" style="1" customWidth="1"/>
    <col min="6880" max="6880" width="9.6640625" style="1" customWidth="1"/>
    <col min="6881" max="6881" width="8.5" style="1" customWidth="1"/>
    <col min="6882" max="7119" width="9" style="1"/>
    <col min="7120" max="7120" width="6.6640625" style="1" customWidth="1"/>
    <col min="7121" max="7121" width="6.33203125" style="1" customWidth="1"/>
    <col min="7122" max="7125" width="8" style="1" customWidth="1"/>
    <col min="7126" max="7126" width="7.5" style="1" customWidth="1"/>
    <col min="7127" max="7128" width="8" style="1" customWidth="1"/>
    <col min="7129" max="7130" width="7.6640625" style="1" customWidth="1"/>
    <col min="7131" max="7131" width="9.6640625" style="1" customWidth="1"/>
    <col min="7132" max="7132" width="8.5" style="1" customWidth="1"/>
    <col min="7133" max="7133" width="7.6640625" style="1" customWidth="1"/>
    <col min="7134" max="7134" width="6.33203125" style="1" customWidth="1"/>
    <col min="7135" max="7135" width="8" style="1" customWidth="1"/>
    <col min="7136" max="7136" width="9.6640625" style="1" customWidth="1"/>
    <col min="7137" max="7137" width="8.5" style="1" customWidth="1"/>
    <col min="7138" max="7375" width="9" style="1"/>
    <col min="7376" max="7376" width="6.6640625" style="1" customWidth="1"/>
    <col min="7377" max="7377" width="6.33203125" style="1" customWidth="1"/>
    <col min="7378" max="7381" width="8" style="1" customWidth="1"/>
    <col min="7382" max="7382" width="7.5" style="1" customWidth="1"/>
    <col min="7383" max="7384" width="8" style="1" customWidth="1"/>
    <col min="7385" max="7386" width="7.6640625" style="1" customWidth="1"/>
    <col min="7387" max="7387" width="9.6640625" style="1" customWidth="1"/>
    <col min="7388" max="7388" width="8.5" style="1" customWidth="1"/>
    <col min="7389" max="7389" width="7.6640625" style="1" customWidth="1"/>
    <col min="7390" max="7390" width="6.33203125" style="1" customWidth="1"/>
    <col min="7391" max="7391" width="8" style="1" customWidth="1"/>
    <col min="7392" max="7392" width="9.6640625" style="1" customWidth="1"/>
    <col min="7393" max="7393" width="8.5" style="1" customWidth="1"/>
    <col min="7394" max="7631" width="9" style="1"/>
    <col min="7632" max="7632" width="6.6640625" style="1" customWidth="1"/>
    <col min="7633" max="7633" width="6.33203125" style="1" customWidth="1"/>
    <col min="7634" max="7637" width="8" style="1" customWidth="1"/>
    <col min="7638" max="7638" width="7.5" style="1" customWidth="1"/>
    <col min="7639" max="7640" width="8" style="1" customWidth="1"/>
    <col min="7641" max="7642" width="7.6640625" style="1" customWidth="1"/>
    <col min="7643" max="7643" width="9.6640625" style="1" customWidth="1"/>
    <col min="7644" max="7644" width="8.5" style="1" customWidth="1"/>
    <col min="7645" max="7645" width="7.6640625" style="1" customWidth="1"/>
    <col min="7646" max="7646" width="6.33203125" style="1" customWidth="1"/>
    <col min="7647" max="7647" width="8" style="1" customWidth="1"/>
    <col min="7648" max="7648" width="9.6640625" style="1" customWidth="1"/>
    <col min="7649" max="7649" width="8.5" style="1" customWidth="1"/>
    <col min="7650" max="7887" width="9" style="1"/>
    <col min="7888" max="7888" width="6.6640625" style="1" customWidth="1"/>
    <col min="7889" max="7889" width="6.33203125" style="1" customWidth="1"/>
    <col min="7890" max="7893" width="8" style="1" customWidth="1"/>
    <col min="7894" max="7894" width="7.5" style="1" customWidth="1"/>
    <col min="7895" max="7896" width="8" style="1" customWidth="1"/>
    <col min="7897" max="7898" width="7.6640625" style="1" customWidth="1"/>
    <col min="7899" max="7899" width="9.6640625" style="1" customWidth="1"/>
    <col min="7900" max="7900" width="8.5" style="1" customWidth="1"/>
    <col min="7901" max="7901" width="7.6640625" style="1" customWidth="1"/>
    <col min="7902" max="7902" width="6.33203125" style="1" customWidth="1"/>
    <col min="7903" max="7903" width="8" style="1" customWidth="1"/>
    <col min="7904" max="7904" width="9.6640625" style="1" customWidth="1"/>
    <col min="7905" max="7905" width="8.5" style="1" customWidth="1"/>
    <col min="7906" max="8143" width="9" style="1"/>
    <col min="8144" max="8144" width="6.6640625" style="1" customWidth="1"/>
    <col min="8145" max="8145" width="6.33203125" style="1" customWidth="1"/>
    <col min="8146" max="8149" width="8" style="1" customWidth="1"/>
    <col min="8150" max="8150" width="7.5" style="1" customWidth="1"/>
    <col min="8151" max="8152" width="8" style="1" customWidth="1"/>
    <col min="8153" max="8154" width="7.6640625" style="1" customWidth="1"/>
    <col min="8155" max="8155" width="9.6640625" style="1" customWidth="1"/>
    <col min="8156" max="8156" width="8.5" style="1" customWidth="1"/>
    <col min="8157" max="8157" width="7.6640625" style="1" customWidth="1"/>
    <col min="8158" max="8158" width="6.33203125" style="1" customWidth="1"/>
    <col min="8159" max="8159" width="8" style="1" customWidth="1"/>
    <col min="8160" max="8160" width="9.6640625" style="1" customWidth="1"/>
    <col min="8161" max="8161" width="8.5" style="1" customWidth="1"/>
    <col min="8162" max="8399" width="9" style="1"/>
    <col min="8400" max="8400" width="6.6640625" style="1" customWidth="1"/>
    <col min="8401" max="8401" width="6.33203125" style="1" customWidth="1"/>
    <col min="8402" max="8405" width="8" style="1" customWidth="1"/>
    <col min="8406" max="8406" width="7.5" style="1" customWidth="1"/>
    <col min="8407" max="8408" width="8" style="1" customWidth="1"/>
    <col min="8409" max="8410" width="7.6640625" style="1" customWidth="1"/>
    <col min="8411" max="8411" width="9.6640625" style="1" customWidth="1"/>
    <col min="8412" max="8412" width="8.5" style="1" customWidth="1"/>
    <col min="8413" max="8413" width="7.6640625" style="1" customWidth="1"/>
    <col min="8414" max="8414" width="6.33203125" style="1" customWidth="1"/>
    <col min="8415" max="8415" width="8" style="1" customWidth="1"/>
    <col min="8416" max="8416" width="9.6640625" style="1" customWidth="1"/>
    <col min="8417" max="8417" width="8.5" style="1" customWidth="1"/>
    <col min="8418" max="8655" width="9" style="1"/>
    <col min="8656" max="8656" width="6.6640625" style="1" customWidth="1"/>
    <col min="8657" max="8657" width="6.33203125" style="1" customWidth="1"/>
    <col min="8658" max="8661" width="8" style="1" customWidth="1"/>
    <col min="8662" max="8662" width="7.5" style="1" customWidth="1"/>
    <col min="8663" max="8664" width="8" style="1" customWidth="1"/>
    <col min="8665" max="8666" width="7.6640625" style="1" customWidth="1"/>
    <col min="8667" max="8667" width="9.6640625" style="1" customWidth="1"/>
    <col min="8668" max="8668" width="8.5" style="1" customWidth="1"/>
    <col min="8669" max="8669" width="7.6640625" style="1" customWidth="1"/>
    <col min="8670" max="8670" width="6.33203125" style="1" customWidth="1"/>
    <col min="8671" max="8671" width="8" style="1" customWidth="1"/>
    <col min="8672" max="8672" width="9.6640625" style="1" customWidth="1"/>
    <col min="8673" max="8673" width="8.5" style="1" customWidth="1"/>
    <col min="8674" max="8911" width="9" style="1"/>
    <col min="8912" max="8912" width="6.6640625" style="1" customWidth="1"/>
    <col min="8913" max="8913" width="6.33203125" style="1" customWidth="1"/>
    <col min="8914" max="8917" width="8" style="1" customWidth="1"/>
    <col min="8918" max="8918" width="7.5" style="1" customWidth="1"/>
    <col min="8919" max="8920" width="8" style="1" customWidth="1"/>
    <col min="8921" max="8922" width="7.6640625" style="1" customWidth="1"/>
    <col min="8923" max="8923" width="9.6640625" style="1" customWidth="1"/>
    <col min="8924" max="8924" width="8.5" style="1" customWidth="1"/>
    <col min="8925" max="8925" width="7.6640625" style="1" customWidth="1"/>
    <col min="8926" max="8926" width="6.33203125" style="1" customWidth="1"/>
    <col min="8927" max="8927" width="8" style="1" customWidth="1"/>
    <col min="8928" max="8928" width="9.6640625" style="1" customWidth="1"/>
    <col min="8929" max="8929" width="8.5" style="1" customWidth="1"/>
    <col min="8930" max="9167" width="9" style="1"/>
    <col min="9168" max="9168" width="6.6640625" style="1" customWidth="1"/>
    <col min="9169" max="9169" width="6.33203125" style="1" customWidth="1"/>
    <col min="9170" max="9173" width="8" style="1" customWidth="1"/>
    <col min="9174" max="9174" width="7.5" style="1" customWidth="1"/>
    <col min="9175" max="9176" width="8" style="1" customWidth="1"/>
    <col min="9177" max="9178" width="7.6640625" style="1" customWidth="1"/>
    <col min="9179" max="9179" width="9.6640625" style="1" customWidth="1"/>
    <col min="9180" max="9180" width="8.5" style="1" customWidth="1"/>
    <col min="9181" max="9181" width="7.6640625" style="1" customWidth="1"/>
    <col min="9182" max="9182" width="6.33203125" style="1" customWidth="1"/>
    <col min="9183" max="9183" width="8" style="1" customWidth="1"/>
    <col min="9184" max="9184" width="9.6640625" style="1" customWidth="1"/>
    <col min="9185" max="9185" width="8.5" style="1" customWidth="1"/>
    <col min="9186" max="9423" width="9" style="1"/>
    <col min="9424" max="9424" width="6.6640625" style="1" customWidth="1"/>
    <col min="9425" max="9425" width="6.33203125" style="1" customWidth="1"/>
    <col min="9426" max="9429" width="8" style="1" customWidth="1"/>
    <col min="9430" max="9430" width="7.5" style="1" customWidth="1"/>
    <col min="9431" max="9432" width="8" style="1" customWidth="1"/>
    <col min="9433" max="9434" width="7.6640625" style="1" customWidth="1"/>
    <col min="9435" max="9435" width="9.6640625" style="1" customWidth="1"/>
    <col min="9436" max="9436" width="8.5" style="1" customWidth="1"/>
    <col min="9437" max="9437" width="7.6640625" style="1" customWidth="1"/>
    <col min="9438" max="9438" width="6.33203125" style="1" customWidth="1"/>
    <col min="9439" max="9439" width="8" style="1" customWidth="1"/>
    <col min="9440" max="9440" width="9.6640625" style="1" customWidth="1"/>
    <col min="9441" max="9441" width="8.5" style="1" customWidth="1"/>
    <col min="9442" max="9679" width="9" style="1"/>
    <col min="9680" max="9680" width="6.6640625" style="1" customWidth="1"/>
    <col min="9681" max="9681" width="6.33203125" style="1" customWidth="1"/>
    <col min="9682" max="9685" width="8" style="1" customWidth="1"/>
    <col min="9686" max="9686" width="7.5" style="1" customWidth="1"/>
    <col min="9687" max="9688" width="8" style="1" customWidth="1"/>
    <col min="9689" max="9690" width="7.6640625" style="1" customWidth="1"/>
    <col min="9691" max="9691" width="9.6640625" style="1" customWidth="1"/>
    <col min="9692" max="9692" width="8.5" style="1" customWidth="1"/>
    <col min="9693" max="9693" width="7.6640625" style="1" customWidth="1"/>
    <col min="9694" max="9694" width="6.33203125" style="1" customWidth="1"/>
    <col min="9695" max="9695" width="8" style="1" customWidth="1"/>
    <col min="9696" max="9696" width="9.6640625" style="1" customWidth="1"/>
    <col min="9697" max="9697" width="8.5" style="1" customWidth="1"/>
    <col min="9698" max="9935" width="9" style="1"/>
    <col min="9936" max="9936" width="6.6640625" style="1" customWidth="1"/>
    <col min="9937" max="9937" width="6.33203125" style="1" customWidth="1"/>
    <col min="9938" max="9941" width="8" style="1" customWidth="1"/>
    <col min="9942" max="9942" width="7.5" style="1" customWidth="1"/>
    <col min="9943" max="9944" width="8" style="1" customWidth="1"/>
    <col min="9945" max="9946" width="7.6640625" style="1" customWidth="1"/>
    <col min="9947" max="9947" width="9.6640625" style="1" customWidth="1"/>
    <col min="9948" max="9948" width="8.5" style="1" customWidth="1"/>
    <col min="9949" max="9949" width="7.6640625" style="1" customWidth="1"/>
    <col min="9950" max="9950" width="6.33203125" style="1" customWidth="1"/>
    <col min="9951" max="9951" width="8" style="1" customWidth="1"/>
    <col min="9952" max="9952" width="9.6640625" style="1" customWidth="1"/>
    <col min="9953" max="9953" width="8.5" style="1" customWidth="1"/>
    <col min="9954" max="10191" width="9" style="1"/>
    <col min="10192" max="10192" width="6.6640625" style="1" customWidth="1"/>
    <col min="10193" max="10193" width="6.33203125" style="1" customWidth="1"/>
    <col min="10194" max="10197" width="8" style="1" customWidth="1"/>
    <col min="10198" max="10198" width="7.5" style="1" customWidth="1"/>
    <col min="10199" max="10200" width="8" style="1" customWidth="1"/>
    <col min="10201" max="10202" width="7.6640625" style="1" customWidth="1"/>
    <col min="10203" max="10203" width="9.6640625" style="1" customWidth="1"/>
    <col min="10204" max="10204" width="8.5" style="1" customWidth="1"/>
    <col min="10205" max="10205" width="7.6640625" style="1" customWidth="1"/>
    <col min="10206" max="10206" width="6.33203125" style="1" customWidth="1"/>
    <col min="10207" max="10207" width="8" style="1" customWidth="1"/>
    <col min="10208" max="10208" width="9.6640625" style="1" customWidth="1"/>
    <col min="10209" max="10209" width="8.5" style="1" customWidth="1"/>
    <col min="10210" max="10447" width="9" style="1"/>
    <col min="10448" max="10448" width="6.6640625" style="1" customWidth="1"/>
    <col min="10449" max="10449" width="6.33203125" style="1" customWidth="1"/>
    <col min="10450" max="10453" width="8" style="1" customWidth="1"/>
    <col min="10454" max="10454" width="7.5" style="1" customWidth="1"/>
    <col min="10455" max="10456" width="8" style="1" customWidth="1"/>
    <col min="10457" max="10458" width="7.6640625" style="1" customWidth="1"/>
    <col min="10459" max="10459" width="9.6640625" style="1" customWidth="1"/>
    <col min="10460" max="10460" width="8.5" style="1" customWidth="1"/>
    <col min="10461" max="10461" width="7.6640625" style="1" customWidth="1"/>
    <col min="10462" max="10462" width="6.33203125" style="1" customWidth="1"/>
    <col min="10463" max="10463" width="8" style="1" customWidth="1"/>
    <col min="10464" max="10464" width="9.6640625" style="1" customWidth="1"/>
    <col min="10465" max="10465" width="8.5" style="1" customWidth="1"/>
    <col min="10466" max="10703" width="9" style="1"/>
    <col min="10704" max="10704" width="6.6640625" style="1" customWidth="1"/>
    <col min="10705" max="10705" width="6.33203125" style="1" customWidth="1"/>
    <col min="10706" max="10709" width="8" style="1" customWidth="1"/>
    <col min="10710" max="10710" width="7.5" style="1" customWidth="1"/>
    <col min="10711" max="10712" width="8" style="1" customWidth="1"/>
    <col min="10713" max="10714" width="7.6640625" style="1" customWidth="1"/>
    <col min="10715" max="10715" width="9.6640625" style="1" customWidth="1"/>
    <col min="10716" max="10716" width="8.5" style="1" customWidth="1"/>
    <col min="10717" max="10717" width="7.6640625" style="1" customWidth="1"/>
    <col min="10718" max="10718" width="6.33203125" style="1" customWidth="1"/>
    <col min="10719" max="10719" width="8" style="1" customWidth="1"/>
    <col min="10720" max="10720" width="9.6640625" style="1" customWidth="1"/>
    <col min="10721" max="10721" width="8.5" style="1" customWidth="1"/>
    <col min="10722" max="10959" width="9" style="1"/>
    <col min="10960" max="10960" width="6.6640625" style="1" customWidth="1"/>
    <col min="10961" max="10961" width="6.33203125" style="1" customWidth="1"/>
    <col min="10962" max="10965" width="8" style="1" customWidth="1"/>
    <col min="10966" max="10966" width="7.5" style="1" customWidth="1"/>
    <col min="10967" max="10968" width="8" style="1" customWidth="1"/>
    <col min="10969" max="10970" width="7.6640625" style="1" customWidth="1"/>
    <col min="10971" max="10971" width="9.6640625" style="1" customWidth="1"/>
    <col min="10972" max="10972" width="8.5" style="1" customWidth="1"/>
    <col min="10973" max="10973" width="7.6640625" style="1" customWidth="1"/>
    <col min="10974" max="10974" width="6.33203125" style="1" customWidth="1"/>
    <col min="10975" max="10975" width="8" style="1" customWidth="1"/>
    <col min="10976" max="10976" width="9.6640625" style="1" customWidth="1"/>
    <col min="10977" max="10977" width="8.5" style="1" customWidth="1"/>
    <col min="10978" max="11215" width="9" style="1"/>
    <col min="11216" max="11216" width="6.6640625" style="1" customWidth="1"/>
    <col min="11217" max="11217" width="6.33203125" style="1" customWidth="1"/>
    <col min="11218" max="11221" width="8" style="1" customWidth="1"/>
    <col min="11222" max="11222" width="7.5" style="1" customWidth="1"/>
    <col min="11223" max="11224" width="8" style="1" customWidth="1"/>
    <col min="11225" max="11226" width="7.6640625" style="1" customWidth="1"/>
    <col min="11227" max="11227" width="9.6640625" style="1" customWidth="1"/>
    <col min="11228" max="11228" width="8.5" style="1" customWidth="1"/>
    <col min="11229" max="11229" width="7.6640625" style="1" customWidth="1"/>
    <col min="11230" max="11230" width="6.33203125" style="1" customWidth="1"/>
    <col min="11231" max="11231" width="8" style="1" customWidth="1"/>
    <col min="11232" max="11232" width="9.6640625" style="1" customWidth="1"/>
    <col min="11233" max="11233" width="8.5" style="1" customWidth="1"/>
    <col min="11234" max="11471" width="9" style="1"/>
    <col min="11472" max="11472" width="6.6640625" style="1" customWidth="1"/>
    <col min="11473" max="11473" width="6.33203125" style="1" customWidth="1"/>
    <col min="11474" max="11477" width="8" style="1" customWidth="1"/>
    <col min="11478" max="11478" width="7.5" style="1" customWidth="1"/>
    <col min="11479" max="11480" width="8" style="1" customWidth="1"/>
    <col min="11481" max="11482" width="7.6640625" style="1" customWidth="1"/>
    <col min="11483" max="11483" width="9.6640625" style="1" customWidth="1"/>
    <col min="11484" max="11484" width="8.5" style="1" customWidth="1"/>
    <col min="11485" max="11485" width="7.6640625" style="1" customWidth="1"/>
    <col min="11486" max="11486" width="6.33203125" style="1" customWidth="1"/>
    <col min="11487" max="11487" width="8" style="1" customWidth="1"/>
    <col min="11488" max="11488" width="9.6640625" style="1" customWidth="1"/>
    <col min="11489" max="11489" width="8.5" style="1" customWidth="1"/>
    <col min="11490" max="11727" width="9" style="1"/>
    <col min="11728" max="11728" width="6.6640625" style="1" customWidth="1"/>
    <col min="11729" max="11729" width="6.33203125" style="1" customWidth="1"/>
    <col min="11730" max="11733" width="8" style="1" customWidth="1"/>
    <col min="11734" max="11734" width="7.5" style="1" customWidth="1"/>
    <col min="11735" max="11736" width="8" style="1" customWidth="1"/>
    <col min="11737" max="11738" width="7.6640625" style="1" customWidth="1"/>
    <col min="11739" max="11739" width="9.6640625" style="1" customWidth="1"/>
    <col min="11740" max="11740" width="8.5" style="1" customWidth="1"/>
    <col min="11741" max="11741" width="7.6640625" style="1" customWidth="1"/>
    <col min="11742" max="11742" width="6.33203125" style="1" customWidth="1"/>
    <col min="11743" max="11743" width="8" style="1" customWidth="1"/>
    <col min="11744" max="11744" width="9.6640625" style="1" customWidth="1"/>
    <col min="11745" max="11745" width="8.5" style="1" customWidth="1"/>
    <col min="11746" max="11983" width="9" style="1"/>
    <col min="11984" max="11984" width="6.6640625" style="1" customWidth="1"/>
    <col min="11985" max="11985" width="6.33203125" style="1" customWidth="1"/>
    <col min="11986" max="11989" width="8" style="1" customWidth="1"/>
    <col min="11990" max="11990" width="7.5" style="1" customWidth="1"/>
    <col min="11991" max="11992" width="8" style="1" customWidth="1"/>
    <col min="11993" max="11994" width="7.6640625" style="1" customWidth="1"/>
    <col min="11995" max="11995" width="9.6640625" style="1" customWidth="1"/>
    <col min="11996" max="11996" width="8.5" style="1" customWidth="1"/>
    <col min="11997" max="11997" width="7.6640625" style="1" customWidth="1"/>
    <col min="11998" max="11998" width="6.33203125" style="1" customWidth="1"/>
    <col min="11999" max="11999" width="8" style="1" customWidth="1"/>
    <col min="12000" max="12000" width="9.6640625" style="1" customWidth="1"/>
    <col min="12001" max="12001" width="8.5" style="1" customWidth="1"/>
    <col min="12002" max="12239" width="9" style="1"/>
    <col min="12240" max="12240" width="6.6640625" style="1" customWidth="1"/>
    <col min="12241" max="12241" width="6.33203125" style="1" customWidth="1"/>
    <col min="12242" max="12245" width="8" style="1" customWidth="1"/>
    <col min="12246" max="12246" width="7.5" style="1" customWidth="1"/>
    <col min="12247" max="12248" width="8" style="1" customWidth="1"/>
    <col min="12249" max="12250" width="7.6640625" style="1" customWidth="1"/>
    <col min="12251" max="12251" width="9.6640625" style="1" customWidth="1"/>
    <col min="12252" max="12252" width="8.5" style="1" customWidth="1"/>
    <col min="12253" max="12253" width="7.6640625" style="1" customWidth="1"/>
    <col min="12254" max="12254" width="6.33203125" style="1" customWidth="1"/>
    <col min="12255" max="12255" width="8" style="1" customWidth="1"/>
    <col min="12256" max="12256" width="9.6640625" style="1" customWidth="1"/>
    <col min="12257" max="12257" width="8.5" style="1" customWidth="1"/>
    <col min="12258" max="12495" width="9" style="1"/>
    <col min="12496" max="12496" width="6.6640625" style="1" customWidth="1"/>
    <col min="12497" max="12497" width="6.33203125" style="1" customWidth="1"/>
    <col min="12498" max="12501" width="8" style="1" customWidth="1"/>
    <col min="12502" max="12502" width="7.5" style="1" customWidth="1"/>
    <col min="12503" max="12504" width="8" style="1" customWidth="1"/>
    <col min="12505" max="12506" width="7.6640625" style="1" customWidth="1"/>
    <col min="12507" max="12507" width="9.6640625" style="1" customWidth="1"/>
    <col min="12508" max="12508" width="8.5" style="1" customWidth="1"/>
    <col min="12509" max="12509" width="7.6640625" style="1" customWidth="1"/>
    <col min="12510" max="12510" width="6.33203125" style="1" customWidth="1"/>
    <col min="12511" max="12511" width="8" style="1" customWidth="1"/>
    <col min="12512" max="12512" width="9.6640625" style="1" customWidth="1"/>
    <col min="12513" max="12513" width="8.5" style="1" customWidth="1"/>
    <col min="12514" max="12751" width="9" style="1"/>
    <col min="12752" max="12752" width="6.6640625" style="1" customWidth="1"/>
    <col min="12753" max="12753" width="6.33203125" style="1" customWidth="1"/>
    <col min="12754" max="12757" width="8" style="1" customWidth="1"/>
    <col min="12758" max="12758" width="7.5" style="1" customWidth="1"/>
    <col min="12759" max="12760" width="8" style="1" customWidth="1"/>
    <col min="12761" max="12762" width="7.6640625" style="1" customWidth="1"/>
    <col min="12763" max="12763" width="9.6640625" style="1" customWidth="1"/>
    <col min="12764" max="12764" width="8.5" style="1" customWidth="1"/>
    <col min="12765" max="12765" width="7.6640625" style="1" customWidth="1"/>
    <col min="12766" max="12766" width="6.33203125" style="1" customWidth="1"/>
    <col min="12767" max="12767" width="8" style="1" customWidth="1"/>
    <col min="12768" max="12768" width="9.6640625" style="1" customWidth="1"/>
    <col min="12769" max="12769" width="8.5" style="1" customWidth="1"/>
    <col min="12770" max="13007" width="9" style="1"/>
    <col min="13008" max="13008" width="6.6640625" style="1" customWidth="1"/>
    <col min="13009" max="13009" width="6.33203125" style="1" customWidth="1"/>
    <col min="13010" max="13013" width="8" style="1" customWidth="1"/>
    <col min="13014" max="13014" width="7.5" style="1" customWidth="1"/>
    <col min="13015" max="13016" width="8" style="1" customWidth="1"/>
    <col min="13017" max="13018" width="7.6640625" style="1" customWidth="1"/>
    <col min="13019" max="13019" width="9.6640625" style="1" customWidth="1"/>
    <col min="13020" max="13020" width="8.5" style="1" customWidth="1"/>
    <col min="13021" max="13021" width="7.6640625" style="1" customWidth="1"/>
    <col min="13022" max="13022" width="6.33203125" style="1" customWidth="1"/>
    <col min="13023" max="13023" width="8" style="1" customWidth="1"/>
    <col min="13024" max="13024" width="9.6640625" style="1" customWidth="1"/>
    <col min="13025" max="13025" width="8.5" style="1" customWidth="1"/>
    <col min="13026" max="13263" width="9" style="1"/>
    <col min="13264" max="13264" width="6.6640625" style="1" customWidth="1"/>
    <col min="13265" max="13265" width="6.33203125" style="1" customWidth="1"/>
    <col min="13266" max="13269" width="8" style="1" customWidth="1"/>
    <col min="13270" max="13270" width="7.5" style="1" customWidth="1"/>
    <col min="13271" max="13272" width="8" style="1" customWidth="1"/>
    <col min="13273" max="13274" width="7.6640625" style="1" customWidth="1"/>
    <col min="13275" max="13275" width="9.6640625" style="1" customWidth="1"/>
    <col min="13276" max="13276" width="8.5" style="1" customWidth="1"/>
    <col min="13277" max="13277" width="7.6640625" style="1" customWidth="1"/>
    <col min="13278" max="13278" width="6.33203125" style="1" customWidth="1"/>
    <col min="13279" max="13279" width="8" style="1" customWidth="1"/>
    <col min="13280" max="13280" width="9.6640625" style="1" customWidth="1"/>
    <col min="13281" max="13281" width="8.5" style="1" customWidth="1"/>
    <col min="13282" max="13519" width="9" style="1"/>
    <col min="13520" max="13520" width="6.6640625" style="1" customWidth="1"/>
    <col min="13521" max="13521" width="6.33203125" style="1" customWidth="1"/>
    <col min="13522" max="13525" width="8" style="1" customWidth="1"/>
    <col min="13526" max="13526" width="7.5" style="1" customWidth="1"/>
    <col min="13527" max="13528" width="8" style="1" customWidth="1"/>
    <col min="13529" max="13530" width="7.6640625" style="1" customWidth="1"/>
    <col min="13531" max="13531" width="9.6640625" style="1" customWidth="1"/>
    <col min="13532" max="13532" width="8.5" style="1" customWidth="1"/>
    <col min="13533" max="13533" width="7.6640625" style="1" customWidth="1"/>
    <col min="13534" max="13534" width="6.33203125" style="1" customWidth="1"/>
    <col min="13535" max="13535" width="8" style="1" customWidth="1"/>
    <col min="13536" max="13536" width="9.6640625" style="1" customWidth="1"/>
    <col min="13537" max="13537" width="8.5" style="1" customWidth="1"/>
    <col min="13538" max="13775" width="9" style="1"/>
    <col min="13776" max="13776" width="6.6640625" style="1" customWidth="1"/>
    <col min="13777" max="13777" width="6.33203125" style="1" customWidth="1"/>
    <col min="13778" max="13781" width="8" style="1" customWidth="1"/>
    <col min="13782" max="13782" width="7.5" style="1" customWidth="1"/>
    <col min="13783" max="13784" width="8" style="1" customWidth="1"/>
    <col min="13785" max="13786" width="7.6640625" style="1" customWidth="1"/>
    <col min="13787" max="13787" width="9.6640625" style="1" customWidth="1"/>
    <col min="13788" max="13788" width="8.5" style="1" customWidth="1"/>
    <col min="13789" max="13789" width="7.6640625" style="1" customWidth="1"/>
    <col min="13790" max="13790" width="6.33203125" style="1" customWidth="1"/>
    <col min="13791" max="13791" width="8" style="1" customWidth="1"/>
    <col min="13792" max="13792" width="9.6640625" style="1" customWidth="1"/>
    <col min="13793" max="13793" width="8.5" style="1" customWidth="1"/>
    <col min="13794" max="14031" width="9" style="1"/>
    <col min="14032" max="14032" width="6.6640625" style="1" customWidth="1"/>
    <col min="14033" max="14033" width="6.33203125" style="1" customWidth="1"/>
    <col min="14034" max="14037" width="8" style="1" customWidth="1"/>
    <col min="14038" max="14038" width="7.5" style="1" customWidth="1"/>
    <col min="14039" max="14040" width="8" style="1" customWidth="1"/>
    <col min="14041" max="14042" width="7.6640625" style="1" customWidth="1"/>
    <col min="14043" max="14043" width="9.6640625" style="1" customWidth="1"/>
    <col min="14044" max="14044" width="8.5" style="1" customWidth="1"/>
    <col min="14045" max="14045" width="7.6640625" style="1" customWidth="1"/>
    <col min="14046" max="14046" width="6.33203125" style="1" customWidth="1"/>
    <col min="14047" max="14047" width="8" style="1" customWidth="1"/>
    <col min="14048" max="14048" width="9.6640625" style="1" customWidth="1"/>
    <col min="14049" max="14049" width="8.5" style="1" customWidth="1"/>
    <col min="14050" max="14287" width="9" style="1"/>
    <col min="14288" max="14288" width="6.6640625" style="1" customWidth="1"/>
    <col min="14289" max="14289" width="6.33203125" style="1" customWidth="1"/>
    <col min="14290" max="14293" width="8" style="1" customWidth="1"/>
    <col min="14294" max="14294" width="7.5" style="1" customWidth="1"/>
    <col min="14295" max="14296" width="8" style="1" customWidth="1"/>
    <col min="14297" max="14298" width="7.6640625" style="1" customWidth="1"/>
    <col min="14299" max="14299" width="9.6640625" style="1" customWidth="1"/>
    <col min="14300" max="14300" width="8.5" style="1" customWidth="1"/>
    <col min="14301" max="14301" width="7.6640625" style="1" customWidth="1"/>
    <col min="14302" max="14302" width="6.33203125" style="1" customWidth="1"/>
    <col min="14303" max="14303" width="8" style="1" customWidth="1"/>
    <col min="14304" max="14304" width="9.6640625" style="1" customWidth="1"/>
    <col min="14305" max="14305" width="8.5" style="1" customWidth="1"/>
    <col min="14306" max="14543" width="9" style="1"/>
    <col min="14544" max="14544" width="6.6640625" style="1" customWidth="1"/>
    <col min="14545" max="14545" width="6.33203125" style="1" customWidth="1"/>
    <col min="14546" max="14549" width="8" style="1" customWidth="1"/>
    <col min="14550" max="14550" width="7.5" style="1" customWidth="1"/>
    <col min="14551" max="14552" width="8" style="1" customWidth="1"/>
    <col min="14553" max="14554" width="7.6640625" style="1" customWidth="1"/>
    <col min="14555" max="14555" width="9.6640625" style="1" customWidth="1"/>
    <col min="14556" max="14556" width="8.5" style="1" customWidth="1"/>
    <col min="14557" max="14557" width="7.6640625" style="1" customWidth="1"/>
    <col min="14558" max="14558" width="6.33203125" style="1" customWidth="1"/>
    <col min="14559" max="14559" width="8" style="1" customWidth="1"/>
    <col min="14560" max="14560" width="9.6640625" style="1" customWidth="1"/>
    <col min="14561" max="14561" width="8.5" style="1" customWidth="1"/>
    <col min="14562" max="14799" width="9" style="1"/>
    <col min="14800" max="14800" width="6.6640625" style="1" customWidth="1"/>
    <col min="14801" max="14801" width="6.33203125" style="1" customWidth="1"/>
    <col min="14802" max="14805" width="8" style="1" customWidth="1"/>
    <col min="14806" max="14806" width="7.5" style="1" customWidth="1"/>
    <col min="14807" max="14808" width="8" style="1" customWidth="1"/>
    <col min="14809" max="14810" width="7.6640625" style="1" customWidth="1"/>
    <col min="14811" max="14811" width="9.6640625" style="1" customWidth="1"/>
    <col min="14812" max="14812" width="8.5" style="1" customWidth="1"/>
    <col min="14813" max="14813" width="7.6640625" style="1" customWidth="1"/>
    <col min="14814" max="14814" width="6.33203125" style="1" customWidth="1"/>
    <col min="14815" max="14815" width="8" style="1" customWidth="1"/>
    <col min="14816" max="14816" width="9.6640625" style="1" customWidth="1"/>
    <col min="14817" max="14817" width="8.5" style="1" customWidth="1"/>
    <col min="14818" max="15055" width="9" style="1"/>
    <col min="15056" max="15056" width="6.6640625" style="1" customWidth="1"/>
    <col min="15057" max="15057" width="6.33203125" style="1" customWidth="1"/>
    <col min="15058" max="15061" width="8" style="1" customWidth="1"/>
    <col min="15062" max="15062" width="7.5" style="1" customWidth="1"/>
    <col min="15063" max="15064" width="8" style="1" customWidth="1"/>
    <col min="15065" max="15066" width="7.6640625" style="1" customWidth="1"/>
    <col min="15067" max="15067" width="9.6640625" style="1" customWidth="1"/>
    <col min="15068" max="15068" width="8.5" style="1" customWidth="1"/>
    <col min="15069" max="15069" width="7.6640625" style="1" customWidth="1"/>
    <col min="15070" max="15070" width="6.33203125" style="1" customWidth="1"/>
    <col min="15071" max="15071" width="8" style="1" customWidth="1"/>
    <col min="15072" max="15072" width="9.6640625" style="1" customWidth="1"/>
    <col min="15073" max="15073" width="8.5" style="1" customWidth="1"/>
    <col min="15074" max="15311" width="9" style="1"/>
    <col min="15312" max="15312" width="6.6640625" style="1" customWidth="1"/>
    <col min="15313" max="15313" width="6.33203125" style="1" customWidth="1"/>
    <col min="15314" max="15317" width="8" style="1" customWidth="1"/>
    <col min="15318" max="15318" width="7.5" style="1" customWidth="1"/>
    <col min="15319" max="15320" width="8" style="1" customWidth="1"/>
    <col min="15321" max="15322" width="7.6640625" style="1" customWidth="1"/>
    <col min="15323" max="15323" width="9.6640625" style="1" customWidth="1"/>
    <col min="15324" max="15324" width="8.5" style="1" customWidth="1"/>
    <col min="15325" max="15325" width="7.6640625" style="1" customWidth="1"/>
    <col min="15326" max="15326" width="6.33203125" style="1" customWidth="1"/>
    <col min="15327" max="15327" width="8" style="1" customWidth="1"/>
    <col min="15328" max="15328" width="9.6640625" style="1" customWidth="1"/>
    <col min="15329" max="15329" width="8.5" style="1" customWidth="1"/>
    <col min="15330" max="15567" width="9" style="1"/>
    <col min="15568" max="15568" width="6.6640625" style="1" customWidth="1"/>
    <col min="15569" max="15569" width="6.33203125" style="1" customWidth="1"/>
    <col min="15570" max="15573" width="8" style="1" customWidth="1"/>
    <col min="15574" max="15574" width="7.5" style="1" customWidth="1"/>
    <col min="15575" max="15576" width="8" style="1" customWidth="1"/>
    <col min="15577" max="15578" width="7.6640625" style="1" customWidth="1"/>
    <col min="15579" max="15579" width="9.6640625" style="1" customWidth="1"/>
    <col min="15580" max="15580" width="8.5" style="1" customWidth="1"/>
    <col min="15581" max="15581" width="7.6640625" style="1" customWidth="1"/>
    <col min="15582" max="15582" width="6.33203125" style="1" customWidth="1"/>
    <col min="15583" max="15583" width="8" style="1" customWidth="1"/>
    <col min="15584" max="15584" width="9.6640625" style="1" customWidth="1"/>
    <col min="15585" max="15585" width="8.5" style="1" customWidth="1"/>
    <col min="15586" max="15823" width="9" style="1"/>
    <col min="15824" max="15824" width="6.6640625" style="1" customWidth="1"/>
    <col min="15825" max="15825" width="6.33203125" style="1" customWidth="1"/>
    <col min="15826" max="15829" width="8" style="1" customWidth="1"/>
    <col min="15830" max="15830" width="7.5" style="1" customWidth="1"/>
    <col min="15831" max="15832" width="8" style="1" customWidth="1"/>
    <col min="15833" max="15834" width="7.6640625" style="1" customWidth="1"/>
    <col min="15835" max="15835" width="9.6640625" style="1" customWidth="1"/>
    <col min="15836" max="15836" width="8.5" style="1" customWidth="1"/>
    <col min="15837" max="15837" width="7.6640625" style="1" customWidth="1"/>
    <col min="15838" max="15838" width="6.33203125" style="1" customWidth="1"/>
    <col min="15839" max="15839" width="8" style="1" customWidth="1"/>
    <col min="15840" max="15840" width="9.6640625" style="1" customWidth="1"/>
    <col min="15841" max="15841" width="8.5" style="1" customWidth="1"/>
    <col min="15842" max="16079" width="9" style="1"/>
    <col min="16080" max="16080" width="6.6640625" style="1" customWidth="1"/>
    <col min="16081" max="16081" width="6.33203125" style="1" customWidth="1"/>
    <col min="16082" max="16085" width="8" style="1" customWidth="1"/>
    <col min="16086" max="16086" width="7.5" style="1" customWidth="1"/>
    <col min="16087" max="16088" width="8" style="1" customWidth="1"/>
    <col min="16089" max="16090" width="7.6640625" style="1" customWidth="1"/>
    <col min="16091" max="16091" width="9.6640625" style="1" customWidth="1"/>
    <col min="16092" max="16092" width="8.5" style="1" customWidth="1"/>
    <col min="16093" max="16093" width="7.6640625" style="1" customWidth="1"/>
    <col min="16094" max="16094" width="6.33203125" style="1" customWidth="1"/>
    <col min="16095" max="16095" width="8" style="1" customWidth="1"/>
    <col min="16096" max="16096" width="9.6640625" style="1" customWidth="1"/>
    <col min="16097" max="16097" width="8.5" style="1" customWidth="1"/>
    <col min="16098" max="16384" width="9" style="1"/>
  </cols>
  <sheetData>
    <row r="1" spans="1:14" ht="33" customHeight="1">
      <c r="A1" s="14" t="s">
        <v>35</v>
      </c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customHeight="1">
      <c r="A2" s="2"/>
      <c r="B2" s="2"/>
      <c r="C2" s="2"/>
      <c r="D2" s="2"/>
      <c r="E2" s="2"/>
      <c r="F2" s="2"/>
      <c r="G2" s="2"/>
      <c r="H2" s="2"/>
      <c r="I2" s="2"/>
      <c r="J2" s="2"/>
      <c r="N2" s="3" t="s">
        <v>0</v>
      </c>
    </row>
    <row r="3" spans="1:14" s="7" customFormat="1" ht="32">
      <c r="A3" s="15" t="s">
        <v>1</v>
      </c>
      <c r="B3" s="15" t="s">
        <v>2</v>
      </c>
      <c r="C3" s="16" t="s">
        <v>3</v>
      </c>
      <c r="D3" s="15" t="s">
        <v>4</v>
      </c>
      <c r="E3" s="15" t="s">
        <v>5</v>
      </c>
      <c r="F3" s="15" t="s">
        <v>20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21</v>
      </c>
      <c r="M3" s="15" t="s">
        <v>22</v>
      </c>
      <c r="N3" s="17" t="s">
        <v>15</v>
      </c>
    </row>
    <row r="4" spans="1:14" ht="20.25" customHeight="1">
      <c r="A4" s="9" t="s">
        <v>16</v>
      </c>
      <c r="B4" s="8">
        <v>28333</v>
      </c>
      <c r="C4" s="8">
        <v>0</v>
      </c>
      <c r="D4" s="8">
        <v>3400</v>
      </c>
      <c r="E4" s="8">
        <v>600</v>
      </c>
      <c r="F4" s="8"/>
      <c r="G4" s="8">
        <v>-125.33</v>
      </c>
      <c r="H4" s="8">
        <v>-22</v>
      </c>
      <c r="I4" s="8">
        <v>-501.3</v>
      </c>
      <c r="J4" s="8">
        <v>-2005.2</v>
      </c>
      <c r="K4" s="8">
        <v>-3303</v>
      </c>
      <c r="L4" s="8">
        <v>0</v>
      </c>
      <c r="M4" s="8">
        <v>-4175.03</v>
      </c>
      <c r="N4" s="10">
        <v>22201.14</v>
      </c>
    </row>
    <row r="5" spans="1:14" ht="18" customHeight="1">
      <c r="A5" s="9" t="s">
        <v>16</v>
      </c>
      <c r="B5" s="8">
        <v>27083</v>
      </c>
      <c r="C5" s="8">
        <v>0</v>
      </c>
      <c r="D5" s="8">
        <v>3200</v>
      </c>
      <c r="E5" s="8">
        <v>500</v>
      </c>
      <c r="F5" s="8"/>
      <c r="G5" s="8">
        <v>-125.33</v>
      </c>
      <c r="H5" s="8">
        <v>-22</v>
      </c>
      <c r="I5" s="8">
        <v>-501.3</v>
      </c>
      <c r="J5" s="8">
        <v>-2005.2</v>
      </c>
      <c r="K5" s="8">
        <v>-3294</v>
      </c>
      <c r="L5" s="8">
        <v>0</v>
      </c>
      <c r="M5" s="8">
        <v>-3866.83</v>
      </c>
      <c r="N5" s="10">
        <v>20968.339999999997</v>
      </c>
    </row>
    <row r="6" spans="1:14" ht="18" customHeight="1">
      <c r="A6" s="9" t="s">
        <v>17</v>
      </c>
      <c r="B6" s="8">
        <v>10821.5</v>
      </c>
      <c r="C6" s="8">
        <v>8657.2000000000007</v>
      </c>
      <c r="D6" s="8">
        <v>0</v>
      </c>
      <c r="E6" s="8">
        <v>0</v>
      </c>
      <c r="F6" s="8"/>
      <c r="G6" s="8">
        <v>-108.3</v>
      </c>
      <c r="H6" s="8">
        <v>-22</v>
      </c>
      <c r="I6" s="8">
        <v>-433.2</v>
      </c>
      <c r="J6" s="8">
        <v>-1732.8</v>
      </c>
      <c r="K6" s="8">
        <v>-2599</v>
      </c>
      <c r="L6" s="8">
        <v>0</v>
      </c>
      <c r="M6" s="8">
        <v>-287.48</v>
      </c>
      <c r="N6" s="10">
        <v>14295.920000000002</v>
      </c>
    </row>
    <row r="7" spans="1:14" ht="18" customHeight="1">
      <c r="A7" s="9" t="s">
        <v>17</v>
      </c>
      <c r="B7" s="8">
        <v>11246</v>
      </c>
      <c r="C7" s="8">
        <v>8996.8000000000011</v>
      </c>
      <c r="D7" s="8">
        <v>0</v>
      </c>
      <c r="E7" s="8">
        <v>0</v>
      </c>
      <c r="F7" s="8"/>
      <c r="G7" s="8">
        <v>-112.55</v>
      </c>
      <c r="H7" s="8">
        <v>-22</v>
      </c>
      <c r="I7" s="8">
        <v>-450.18</v>
      </c>
      <c r="J7" s="8">
        <v>-1800.72</v>
      </c>
      <c r="K7" s="8">
        <v>-2701</v>
      </c>
      <c r="L7" s="8">
        <v>0</v>
      </c>
      <c r="M7" s="8">
        <v>-214.66</v>
      </c>
      <c r="N7" s="10">
        <v>14941.690000000002</v>
      </c>
    </row>
    <row r="8" spans="1:14" ht="18" customHeight="1">
      <c r="A8" s="9" t="s">
        <v>18</v>
      </c>
      <c r="B8" s="8">
        <v>6250</v>
      </c>
      <c r="C8" s="8">
        <v>5500.0000000000009</v>
      </c>
      <c r="D8" s="8">
        <v>0</v>
      </c>
      <c r="E8" s="8">
        <v>0</v>
      </c>
      <c r="F8" s="8"/>
      <c r="G8" s="8">
        <v>-93.84</v>
      </c>
      <c r="H8" s="8">
        <v>-22</v>
      </c>
      <c r="I8" s="8">
        <v>-375.34</v>
      </c>
      <c r="J8" s="8">
        <v>-1501.36</v>
      </c>
      <c r="K8" s="8">
        <v>-2888</v>
      </c>
      <c r="L8" s="8">
        <v>0</v>
      </c>
      <c r="M8" s="8">
        <v>0</v>
      </c>
      <c r="N8" s="10">
        <v>6869.4599999999991</v>
      </c>
    </row>
    <row r="9" spans="1:14" ht="18" customHeight="1">
      <c r="A9" s="9" t="s">
        <v>17</v>
      </c>
      <c r="B9" s="8">
        <v>12500</v>
      </c>
      <c r="C9" s="8">
        <v>10000</v>
      </c>
      <c r="D9" s="8">
        <v>0</v>
      </c>
      <c r="E9" s="8">
        <v>0</v>
      </c>
      <c r="F9" s="8"/>
      <c r="G9" s="8">
        <v>-125.33</v>
      </c>
      <c r="H9" s="8">
        <v>-22</v>
      </c>
      <c r="I9" s="8">
        <v>-501.3</v>
      </c>
      <c r="J9" s="8">
        <v>-2005.2</v>
      </c>
      <c r="K9" s="8">
        <v>-3000</v>
      </c>
      <c r="L9" s="8">
        <v>0</v>
      </c>
      <c r="M9" s="8">
        <v>-265.36</v>
      </c>
      <c r="N9" s="10">
        <v>16580.809999999998</v>
      </c>
    </row>
    <row r="10" spans="1:14" ht="18" customHeight="1">
      <c r="A10" s="9" t="s">
        <v>17</v>
      </c>
      <c r="B10" s="8">
        <v>9494</v>
      </c>
      <c r="C10" s="8">
        <v>7595.2000000000007</v>
      </c>
      <c r="D10" s="8">
        <v>0</v>
      </c>
      <c r="E10" s="8">
        <v>0</v>
      </c>
      <c r="F10" s="8"/>
      <c r="G10" s="8">
        <v>-95.03</v>
      </c>
      <c r="H10" s="8">
        <v>-22</v>
      </c>
      <c r="I10" s="8">
        <v>-380.1</v>
      </c>
      <c r="J10" s="8">
        <v>-1520.4</v>
      </c>
      <c r="K10" s="8">
        <v>-2279</v>
      </c>
      <c r="L10" s="8">
        <v>0</v>
      </c>
      <c r="M10" s="8">
        <v>-38.75</v>
      </c>
      <c r="N10" s="10">
        <v>12753.920000000004</v>
      </c>
    </row>
    <row r="11" spans="1:14" ht="18" customHeight="1">
      <c r="A11" s="9" t="s">
        <v>17</v>
      </c>
      <c r="B11" s="8">
        <v>11870.5</v>
      </c>
      <c r="C11" s="8">
        <v>9496.4</v>
      </c>
      <c r="D11" s="8">
        <v>0</v>
      </c>
      <c r="E11" s="8">
        <v>0</v>
      </c>
      <c r="F11" s="8"/>
      <c r="G11" s="8">
        <v>-118.79</v>
      </c>
      <c r="H11" s="8">
        <v>-22</v>
      </c>
      <c r="I11" s="8">
        <v>-475.16</v>
      </c>
      <c r="J11" s="8">
        <v>-1900.64</v>
      </c>
      <c r="K11" s="8">
        <v>-2851</v>
      </c>
      <c r="L11" s="8">
        <v>0</v>
      </c>
      <c r="M11" s="8">
        <v>-636.05999999999995</v>
      </c>
      <c r="N11" s="10">
        <v>15363.250000000002</v>
      </c>
    </row>
    <row r="12" spans="1:14" ht="18" customHeight="1">
      <c r="A12" s="9" t="s">
        <v>17</v>
      </c>
      <c r="B12" s="8">
        <v>11500</v>
      </c>
      <c r="C12" s="8">
        <v>9200</v>
      </c>
      <c r="D12" s="8">
        <v>0</v>
      </c>
      <c r="E12" s="8">
        <v>0</v>
      </c>
      <c r="F12" s="8"/>
      <c r="G12" s="8">
        <v>-115.97</v>
      </c>
      <c r="H12" s="8">
        <v>-22</v>
      </c>
      <c r="I12" s="8">
        <v>-463.86</v>
      </c>
      <c r="J12" s="8">
        <v>-1855.44</v>
      </c>
      <c r="K12" s="8">
        <v>-2783</v>
      </c>
      <c r="L12" s="8">
        <v>0</v>
      </c>
      <c r="M12" s="8">
        <v>-178.77</v>
      </c>
      <c r="N12" s="10">
        <v>15280.96</v>
      </c>
    </row>
    <row r="13" spans="1:14" ht="18" customHeight="1">
      <c r="A13" s="9" t="s">
        <v>18</v>
      </c>
      <c r="B13" s="8">
        <v>5291.5</v>
      </c>
      <c r="C13" s="8">
        <v>4444.8600000000015</v>
      </c>
      <c r="D13" s="8">
        <v>0</v>
      </c>
      <c r="E13" s="8">
        <v>0</v>
      </c>
      <c r="F13" s="8"/>
      <c r="G13" s="8">
        <v>-53</v>
      </c>
      <c r="H13" s="8">
        <v>-22</v>
      </c>
      <c r="I13" s="8">
        <v>-212</v>
      </c>
      <c r="J13" s="8">
        <v>-848</v>
      </c>
      <c r="K13" s="8">
        <v>-1272</v>
      </c>
      <c r="L13" s="8">
        <v>0</v>
      </c>
      <c r="M13" s="8">
        <v>-69.849999999999994</v>
      </c>
      <c r="N13" s="10">
        <v>7259.51</v>
      </c>
    </row>
    <row r="14" spans="1:14" ht="18" customHeight="1">
      <c r="A14" s="9" t="s">
        <v>17</v>
      </c>
      <c r="B14" s="8">
        <v>10600</v>
      </c>
      <c r="C14" s="8">
        <v>8480</v>
      </c>
      <c r="D14" s="8">
        <v>0</v>
      </c>
      <c r="E14" s="8">
        <v>0</v>
      </c>
      <c r="F14" s="8"/>
      <c r="G14" s="8">
        <v>-125.33</v>
      </c>
      <c r="H14" s="8">
        <v>-22</v>
      </c>
      <c r="I14" s="8">
        <v>-501.3</v>
      </c>
      <c r="J14" s="8">
        <v>-2005.2</v>
      </c>
      <c r="K14" s="8">
        <v>-2539</v>
      </c>
      <c r="L14" s="8">
        <v>0</v>
      </c>
      <c r="M14" s="8">
        <v>-481.88</v>
      </c>
      <c r="N14" s="10">
        <v>13405.289999999999</v>
      </c>
    </row>
    <row r="15" spans="1:14" ht="18" customHeight="1">
      <c r="A15" s="9" t="s">
        <v>19</v>
      </c>
      <c r="B15" s="8">
        <v>4250</v>
      </c>
      <c r="C15" s="8">
        <v>4080</v>
      </c>
      <c r="D15" s="8">
        <v>0</v>
      </c>
      <c r="E15" s="8">
        <v>0</v>
      </c>
      <c r="F15" s="8"/>
      <c r="G15" s="8">
        <v>-42.5</v>
      </c>
      <c r="H15" s="8">
        <v>-22</v>
      </c>
      <c r="I15" s="8">
        <v>-170</v>
      </c>
      <c r="J15" s="8">
        <v>-680</v>
      </c>
      <c r="K15" s="8">
        <v>-1020</v>
      </c>
      <c r="L15" s="8">
        <v>0</v>
      </c>
      <c r="M15" s="8">
        <v>-41.84</v>
      </c>
      <c r="N15" s="10">
        <v>6353.66</v>
      </c>
    </row>
    <row r="16" spans="1:14" ht="17.25" customHeight="1">
      <c r="A16" s="9" t="s">
        <v>17</v>
      </c>
      <c r="B16" s="8">
        <v>12500</v>
      </c>
      <c r="C16" s="8">
        <v>8095.24</v>
      </c>
      <c r="D16" s="8">
        <v>0</v>
      </c>
      <c r="E16" s="8">
        <v>0</v>
      </c>
      <c r="F16" s="8">
        <v>-2381</v>
      </c>
      <c r="G16" s="8">
        <v>-125</v>
      </c>
      <c r="H16" s="8">
        <v>-22</v>
      </c>
      <c r="I16" s="8">
        <v>-500</v>
      </c>
      <c r="J16" s="8">
        <v>-2000</v>
      </c>
      <c r="K16" s="8">
        <v>-3000</v>
      </c>
      <c r="L16" s="8">
        <v>0</v>
      </c>
      <c r="M16" s="8">
        <v>-227.02</v>
      </c>
      <c r="N16" s="10">
        <v>12340.219999999998</v>
      </c>
    </row>
    <row r="17" spans="1:14">
      <c r="A17" s="13" t="s">
        <v>23</v>
      </c>
      <c r="B17" s="11">
        <v>161739.5</v>
      </c>
      <c r="C17" s="11">
        <v>84545.7</v>
      </c>
      <c r="D17" s="11">
        <v>6600</v>
      </c>
      <c r="E17" s="11">
        <v>1100</v>
      </c>
      <c r="F17" s="11">
        <v>-2381</v>
      </c>
      <c r="G17" s="11">
        <v>-1366.3</v>
      </c>
      <c r="H17" s="11">
        <v>-286</v>
      </c>
      <c r="I17" s="11">
        <v>-5465.04</v>
      </c>
      <c r="J17" s="11">
        <v>-21860.16</v>
      </c>
      <c r="K17" s="11">
        <v>-33529</v>
      </c>
      <c r="L17" s="11">
        <v>0</v>
      </c>
      <c r="M17" s="11">
        <v>-10483.530000000001</v>
      </c>
      <c r="N17" s="11">
        <v>178614.17</v>
      </c>
    </row>
    <row r="19" spans="1:14" ht="16">
      <c r="F19" s="20"/>
      <c r="G19" s="20"/>
      <c r="M19" s="12"/>
      <c r="N19" s="1"/>
    </row>
    <row r="20" spans="1:14">
      <c r="M20" s="12"/>
      <c r="N20" s="1"/>
    </row>
    <row r="21" spans="1:14">
      <c r="M21" s="12"/>
      <c r="N21" s="1"/>
    </row>
    <row r="22" spans="1:14">
      <c r="M22" s="12"/>
      <c r="N22" s="1"/>
    </row>
  </sheetData>
  <mergeCells count="1">
    <mergeCell ref="F19:G19"/>
  </mergeCells>
  <phoneticPr fontId="4" type="noConversion"/>
  <pageMargins left="0.31496062992126" right="0.196850393700787" top="0.74803149606299202" bottom="0.74803149606299202" header="0.31496062992126" footer="0.31496062992126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2F24B-CD62-445A-96A3-DD5A4F81706B}">
  <sheetPr>
    <tabColor rgb="FFFFC000"/>
  </sheetPr>
  <dimension ref="A1:N22"/>
  <sheetViews>
    <sheetView workbookViewId="0"/>
  </sheetViews>
  <sheetFormatPr baseColWidth="10" defaultColWidth="9" defaultRowHeight="15"/>
  <cols>
    <col min="1" max="1" width="11" style="1" bestFit="1" customWidth="1"/>
    <col min="2" max="2" width="10.5" style="1" bestFit="1" customWidth="1"/>
    <col min="3" max="3" width="8.6640625" style="1" customWidth="1"/>
    <col min="4" max="4" width="8.83203125" style="1" customWidth="1"/>
    <col min="5" max="6" width="9.83203125" style="1" customWidth="1"/>
    <col min="7" max="7" width="9.5" style="1" customWidth="1"/>
    <col min="8" max="8" width="8.5" style="1" bestFit="1" customWidth="1"/>
    <col min="9" max="9" width="9.1640625" style="1" customWidth="1"/>
    <col min="10" max="10" width="11.6640625" style="1" customWidth="1"/>
    <col min="11" max="11" width="10.5" style="1" bestFit="1" customWidth="1"/>
    <col min="12" max="12" width="9" style="1" hidden="1" customWidth="1"/>
    <col min="13" max="13" width="10.5" style="1" bestFit="1" customWidth="1"/>
    <col min="14" max="14" width="16.1640625" style="12" customWidth="1"/>
    <col min="15" max="15" width="9" style="1" customWidth="1"/>
    <col min="16" max="207" width="9" style="1"/>
    <col min="208" max="208" width="6.6640625" style="1" customWidth="1"/>
    <col min="209" max="209" width="6.33203125" style="1" customWidth="1"/>
    <col min="210" max="213" width="8" style="1" customWidth="1"/>
    <col min="214" max="214" width="7.5" style="1" customWidth="1"/>
    <col min="215" max="216" width="8" style="1" customWidth="1"/>
    <col min="217" max="218" width="7.6640625" style="1" customWidth="1"/>
    <col min="219" max="219" width="9.6640625" style="1" customWidth="1"/>
    <col min="220" max="220" width="8.5" style="1" customWidth="1"/>
    <col min="221" max="221" width="7.6640625" style="1" customWidth="1"/>
    <col min="222" max="222" width="6.33203125" style="1" customWidth="1"/>
    <col min="223" max="223" width="8" style="1" customWidth="1"/>
    <col min="224" max="224" width="9.6640625" style="1" customWidth="1"/>
    <col min="225" max="225" width="8.5" style="1" customWidth="1"/>
    <col min="226" max="463" width="9" style="1"/>
    <col min="464" max="464" width="6.6640625" style="1" customWidth="1"/>
    <col min="465" max="465" width="6.33203125" style="1" customWidth="1"/>
    <col min="466" max="469" width="8" style="1" customWidth="1"/>
    <col min="470" max="470" width="7.5" style="1" customWidth="1"/>
    <col min="471" max="472" width="8" style="1" customWidth="1"/>
    <col min="473" max="474" width="7.6640625" style="1" customWidth="1"/>
    <col min="475" max="475" width="9.6640625" style="1" customWidth="1"/>
    <col min="476" max="476" width="8.5" style="1" customWidth="1"/>
    <col min="477" max="477" width="7.6640625" style="1" customWidth="1"/>
    <col min="478" max="478" width="6.33203125" style="1" customWidth="1"/>
    <col min="479" max="479" width="8" style="1" customWidth="1"/>
    <col min="480" max="480" width="9.6640625" style="1" customWidth="1"/>
    <col min="481" max="481" width="8.5" style="1" customWidth="1"/>
    <col min="482" max="719" width="9" style="1"/>
    <col min="720" max="720" width="6.6640625" style="1" customWidth="1"/>
    <col min="721" max="721" width="6.33203125" style="1" customWidth="1"/>
    <col min="722" max="725" width="8" style="1" customWidth="1"/>
    <col min="726" max="726" width="7.5" style="1" customWidth="1"/>
    <col min="727" max="728" width="8" style="1" customWidth="1"/>
    <col min="729" max="730" width="7.6640625" style="1" customWidth="1"/>
    <col min="731" max="731" width="9.6640625" style="1" customWidth="1"/>
    <col min="732" max="732" width="8.5" style="1" customWidth="1"/>
    <col min="733" max="733" width="7.6640625" style="1" customWidth="1"/>
    <col min="734" max="734" width="6.33203125" style="1" customWidth="1"/>
    <col min="735" max="735" width="8" style="1" customWidth="1"/>
    <col min="736" max="736" width="9.6640625" style="1" customWidth="1"/>
    <col min="737" max="737" width="8.5" style="1" customWidth="1"/>
    <col min="738" max="975" width="9" style="1"/>
    <col min="976" max="976" width="6.6640625" style="1" customWidth="1"/>
    <col min="977" max="977" width="6.33203125" style="1" customWidth="1"/>
    <col min="978" max="981" width="8" style="1" customWidth="1"/>
    <col min="982" max="982" width="7.5" style="1" customWidth="1"/>
    <col min="983" max="984" width="8" style="1" customWidth="1"/>
    <col min="985" max="986" width="7.6640625" style="1" customWidth="1"/>
    <col min="987" max="987" width="9.6640625" style="1" customWidth="1"/>
    <col min="988" max="988" width="8.5" style="1" customWidth="1"/>
    <col min="989" max="989" width="7.6640625" style="1" customWidth="1"/>
    <col min="990" max="990" width="6.33203125" style="1" customWidth="1"/>
    <col min="991" max="991" width="8" style="1" customWidth="1"/>
    <col min="992" max="992" width="9.6640625" style="1" customWidth="1"/>
    <col min="993" max="993" width="8.5" style="1" customWidth="1"/>
    <col min="994" max="1231" width="9" style="1"/>
    <col min="1232" max="1232" width="6.6640625" style="1" customWidth="1"/>
    <col min="1233" max="1233" width="6.33203125" style="1" customWidth="1"/>
    <col min="1234" max="1237" width="8" style="1" customWidth="1"/>
    <col min="1238" max="1238" width="7.5" style="1" customWidth="1"/>
    <col min="1239" max="1240" width="8" style="1" customWidth="1"/>
    <col min="1241" max="1242" width="7.6640625" style="1" customWidth="1"/>
    <col min="1243" max="1243" width="9.6640625" style="1" customWidth="1"/>
    <col min="1244" max="1244" width="8.5" style="1" customWidth="1"/>
    <col min="1245" max="1245" width="7.6640625" style="1" customWidth="1"/>
    <col min="1246" max="1246" width="6.33203125" style="1" customWidth="1"/>
    <col min="1247" max="1247" width="8" style="1" customWidth="1"/>
    <col min="1248" max="1248" width="9.6640625" style="1" customWidth="1"/>
    <col min="1249" max="1249" width="8.5" style="1" customWidth="1"/>
    <col min="1250" max="1487" width="9" style="1"/>
    <col min="1488" max="1488" width="6.6640625" style="1" customWidth="1"/>
    <col min="1489" max="1489" width="6.33203125" style="1" customWidth="1"/>
    <col min="1490" max="1493" width="8" style="1" customWidth="1"/>
    <col min="1494" max="1494" width="7.5" style="1" customWidth="1"/>
    <col min="1495" max="1496" width="8" style="1" customWidth="1"/>
    <col min="1497" max="1498" width="7.6640625" style="1" customWidth="1"/>
    <col min="1499" max="1499" width="9.6640625" style="1" customWidth="1"/>
    <col min="1500" max="1500" width="8.5" style="1" customWidth="1"/>
    <col min="1501" max="1501" width="7.6640625" style="1" customWidth="1"/>
    <col min="1502" max="1502" width="6.33203125" style="1" customWidth="1"/>
    <col min="1503" max="1503" width="8" style="1" customWidth="1"/>
    <col min="1504" max="1504" width="9.6640625" style="1" customWidth="1"/>
    <col min="1505" max="1505" width="8.5" style="1" customWidth="1"/>
    <col min="1506" max="1743" width="9" style="1"/>
    <col min="1744" max="1744" width="6.6640625" style="1" customWidth="1"/>
    <col min="1745" max="1745" width="6.33203125" style="1" customWidth="1"/>
    <col min="1746" max="1749" width="8" style="1" customWidth="1"/>
    <col min="1750" max="1750" width="7.5" style="1" customWidth="1"/>
    <col min="1751" max="1752" width="8" style="1" customWidth="1"/>
    <col min="1753" max="1754" width="7.6640625" style="1" customWidth="1"/>
    <col min="1755" max="1755" width="9.6640625" style="1" customWidth="1"/>
    <col min="1756" max="1756" width="8.5" style="1" customWidth="1"/>
    <col min="1757" max="1757" width="7.6640625" style="1" customWidth="1"/>
    <col min="1758" max="1758" width="6.33203125" style="1" customWidth="1"/>
    <col min="1759" max="1759" width="8" style="1" customWidth="1"/>
    <col min="1760" max="1760" width="9.6640625" style="1" customWidth="1"/>
    <col min="1761" max="1761" width="8.5" style="1" customWidth="1"/>
    <col min="1762" max="1999" width="9" style="1"/>
    <col min="2000" max="2000" width="6.6640625" style="1" customWidth="1"/>
    <col min="2001" max="2001" width="6.33203125" style="1" customWidth="1"/>
    <col min="2002" max="2005" width="8" style="1" customWidth="1"/>
    <col min="2006" max="2006" width="7.5" style="1" customWidth="1"/>
    <col min="2007" max="2008" width="8" style="1" customWidth="1"/>
    <col min="2009" max="2010" width="7.6640625" style="1" customWidth="1"/>
    <col min="2011" max="2011" width="9.6640625" style="1" customWidth="1"/>
    <col min="2012" max="2012" width="8.5" style="1" customWidth="1"/>
    <col min="2013" max="2013" width="7.6640625" style="1" customWidth="1"/>
    <col min="2014" max="2014" width="6.33203125" style="1" customWidth="1"/>
    <col min="2015" max="2015" width="8" style="1" customWidth="1"/>
    <col min="2016" max="2016" width="9.6640625" style="1" customWidth="1"/>
    <col min="2017" max="2017" width="8.5" style="1" customWidth="1"/>
    <col min="2018" max="2255" width="9" style="1"/>
    <col min="2256" max="2256" width="6.6640625" style="1" customWidth="1"/>
    <col min="2257" max="2257" width="6.33203125" style="1" customWidth="1"/>
    <col min="2258" max="2261" width="8" style="1" customWidth="1"/>
    <col min="2262" max="2262" width="7.5" style="1" customWidth="1"/>
    <col min="2263" max="2264" width="8" style="1" customWidth="1"/>
    <col min="2265" max="2266" width="7.6640625" style="1" customWidth="1"/>
    <col min="2267" max="2267" width="9.6640625" style="1" customWidth="1"/>
    <col min="2268" max="2268" width="8.5" style="1" customWidth="1"/>
    <col min="2269" max="2269" width="7.6640625" style="1" customWidth="1"/>
    <col min="2270" max="2270" width="6.33203125" style="1" customWidth="1"/>
    <col min="2271" max="2271" width="8" style="1" customWidth="1"/>
    <col min="2272" max="2272" width="9.6640625" style="1" customWidth="1"/>
    <col min="2273" max="2273" width="8.5" style="1" customWidth="1"/>
    <col min="2274" max="2511" width="9" style="1"/>
    <col min="2512" max="2512" width="6.6640625" style="1" customWidth="1"/>
    <col min="2513" max="2513" width="6.33203125" style="1" customWidth="1"/>
    <col min="2514" max="2517" width="8" style="1" customWidth="1"/>
    <col min="2518" max="2518" width="7.5" style="1" customWidth="1"/>
    <col min="2519" max="2520" width="8" style="1" customWidth="1"/>
    <col min="2521" max="2522" width="7.6640625" style="1" customWidth="1"/>
    <col min="2523" max="2523" width="9.6640625" style="1" customWidth="1"/>
    <col min="2524" max="2524" width="8.5" style="1" customWidth="1"/>
    <col min="2525" max="2525" width="7.6640625" style="1" customWidth="1"/>
    <col min="2526" max="2526" width="6.33203125" style="1" customWidth="1"/>
    <col min="2527" max="2527" width="8" style="1" customWidth="1"/>
    <col min="2528" max="2528" width="9.6640625" style="1" customWidth="1"/>
    <col min="2529" max="2529" width="8.5" style="1" customWidth="1"/>
    <col min="2530" max="2767" width="9" style="1"/>
    <col min="2768" max="2768" width="6.6640625" style="1" customWidth="1"/>
    <col min="2769" max="2769" width="6.33203125" style="1" customWidth="1"/>
    <col min="2770" max="2773" width="8" style="1" customWidth="1"/>
    <col min="2774" max="2774" width="7.5" style="1" customWidth="1"/>
    <col min="2775" max="2776" width="8" style="1" customWidth="1"/>
    <col min="2777" max="2778" width="7.6640625" style="1" customWidth="1"/>
    <col min="2779" max="2779" width="9.6640625" style="1" customWidth="1"/>
    <col min="2780" max="2780" width="8.5" style="1" customWidth="1"/>
    <col min="2781" max="2781" width="7.6640625" style="1" customWidth="1"/>
    <col min="2782" max="2782" width="6.33203125" style="1" customWidth="1"/>
    <col min="2783" max="2783" width="8" style="1" customWidth="1"/>
    <col min="2784" max="2784" width="9.6640625" style="1" customWidth="1"/>
    <col min="2785" max="2785" width="8.5" style="1" customWidth="1"/>
    <col min="2786" max="3023" width="9" style="1"/>
    <col min="3024" max="3024" width="6.6640625" style="1" customWidth="1"/>
    <col min="3025" max="3025" width="6.33203125" style="1" customWidth="1"/>
    <col min="3026" max="3029" width="8" style="1" customWidth="1"/>
    <col min="3030" max="3030" width="7.5" style="1" customWidth="1"/>
    <col min="3031" max="3032" width="8" style="1" customWidth="1"/>
    <col min="3033" max="3034" width="7.6640625" style="1" customWidth="1"/>
    <col min="3035" max="3035" width="9.6640625" style="1" customWidth="1"/>
    <col min="3036" max="3036" width="8.5" style="1" customWidth="1"/>
    <col min="3037" max="3037" width="7.6640625" style="1" customWidth="1"/>
    <col min="3038" max="3038" width="6.33203125" style="1" customWidth="1"/>
    <col min="3039" max="3039" width="8" style="1" customWidth="1"/>
    <col min="3040" max="3040" width="9.6640625" style="1" customWidth="1"/>
    <col min="3041" max="3041" width="8.5" style="1" customWidth="1"/>
    <col min="3042" max="3279" width="9" style="1"/>
    <col min="3280" max="3280" width="6.6640625" style="1" customWidth="1"/>
    <col min="3281" max="3281" width="6.33203125" style="1" customWidth="1"/>
    <col min="3282" max="3285" width="8" style="1" customWidth="1"/>
    <col min="3286" max="3286" width="7.5" style="1" customWidth="1"/>
    <col min="3287" max="3288" width="8" style="1" customWidth="1"/>
    <col min="3289" max="3290" width="7.6640625" style="1" customWidth="1"/>
    <col min="3291" max="3291" width="9.6640625" style="1" customWidth="1"/>
    <col min="3292" max="3292" width="8.5" style="1" customWidth="1"/>
    <col min="3293" max="3293" width="7.6640625" style="1" customWidth="1"/>
    <col min="3294" max="3294" width="6.33203125" style="1" customWidth="1"/>
    <col min="3295" max="3295" width="8" style="1" customWidth="1"/>
    <col min="3296" max="3296" width="9.6640625" style="1" customWidth="1"/>
    <col min="3297" max="3297" width="8.5" style="1" customWidth="1"/>
    <col min="3298" max="3535" width="9" style="1"/>
    <col min="3536" max="3536" width="6.6640625" style="1" customWidth="1"/>
    <col min="3537" max="3537" width="6.33203125" style="1" customWidth="1"/>
    <col min="3538" max="3541" width="8" style="1" customWidth="1"/>
    <col min="3542" max="3542" width="7.5" style="1" customWidth="1"/>
    <col min="3543" max="3544" width="8" style="1" customWidth="1"/>
    <col min="3545" max="3546" width="7.6640625" style="1" customWidth="1"/>
    <col min="3547" max="3547" width="9.6640625" style="1" customWidth="1"/>
    <col min="3548" max="3548" width="8.5" style="1" customWidth="1"/>
    <col min="3549" max="3549" width="7.6640625" style="1" customWidth="1"/>
    <col min="3550" max="3550" width="6.33203125" style="1" customWidth="1"/>
    <col min="3551" max="3551" width="8" style="1" customWidth="1"/>
    <col min="3552" max="3552" width="9.6640625" style="1" customWidth="1"/>
    <col min="3553" max="3553" width="8.5" style="1" customWidth="1"/>
    <col min="3554" max="3791" width="9" style="1"/>
    <col min="3792" max="3792" width="6.6640625" style="1" customWidth="1"/>
    <col min="3793" max="3793" width="6.33203125" style="1" customWidth="1"/>
    <col min="3794" max="3797" width="8" style="1" customWidth="1"/>
    <col min="3798" max="3798" width="7.5" style="1" customWidth="1"/>
    <col min="3799" max="3800" width="8" style="1" customWidth="1"/>
    <col min="3801" max="3802" width="7.6640625" style="1" customWidth="1"/>
    <col min="3803" max="3803" width="9.6640625" style="1" customWidth="1"/>
    <col min="3804" max="3804" width="8.5" style="1" customWidth="1"/>
    <col min="3805" max="3805" width="7.6640625" style="1" customWidth="1"/>
    <col min="3806" max="3806" width="6.33203125" style="1" customWidth="1"/>
    <col min="3807" max="3807" width="8" style="1" customWidth="1"/>
    <col min="3808" max="3808" width="9.6640625" style="1" customWidth="1"/>
    <col min="3809" max="3809" width="8.5" style="1" customWidth="1"/>
    <col min="3810" max="4047" width="9" style="1"/>
    <col min="4048" max="4048" width="6.6640625" style="1" customWidth="1"/>
    <col min="4049" max="4049" width="6.33203125" style="1" customWidth="1"/>
    <col min="4050" max="4053" width="8" style="1" customWidth="1"/>
    <col min="4054" max="4054" width="7.5" style="1" customWidth="1"/>
    <col min="4055" max="4056" width="8" style="1" customWidth="1"/>
    <col min="4057" max="4058" width="7.6640625" style="1" customWidth="1"/>
    <col min="4059" max="4059" width="9.6640625" style="1" customWidth="1"/>
    <col min="4060" max="4060" width="8.5" style="1" customWidth="1"/>
    <col min="4061" max="4061" width="7.6640625" style="1" customWidth="1"/>
    <col min="4062" max="4062" width="6.33203125" style="1" customWidth="1"/>
    <col min="4063" max="4063" width="8" style="1" customWidth="1"/>
    <col min="4064" max="4064" width="9.6640625" style="1" customWidth="1"/>
    <col min="4065" max="4065" width="8.5" style="1" customWidth="1"/>
    <col min="4066" max="4303" width="9" style="1"/>
    <col min="4304" max="4304" width="6.6640625" style="1" customWidth="1"/>
    <col min="4305" max="4305" width="6.33203125" style="1" customWidth="1"/>
    <col min="4306" max="4309" width="8" style="1" customWidth="1"/>
    <col min="4310" max="4310" width="7.5" style="1" customWidth="1"/>
    <col min="4311" max="4312" width="8" style="1" customWidth="1"/>
    <col min="4313" max="4314" width="7.6640625" style="1" customWidth="1"/>
    <col min="4315" max="4315" width="9.6640625" style="1" customWidth="1"/>
    <col min="4316" max="4316" width="8.5" style="1" customWidth="1"/>
    <col min="4317" max="4317" width="7.6640625" style="1" customWidth="1"/>
    <col min="4318" max="4318" width="6.33203125" style="1" customWidth="1"/>
    <col min="4319" max="4319" width="8" style="1" customWidth="1"/>
    <col min="4320" max="4320" width="9.6640625" style="1" customWidth="1"/>
    <col min="4321" max="4321" width="8.5" style="1" customWidth="1"/>
    <col min="4322" max="4559" width="9" style="1"/>
    <col min="4560" max="4560" width="6.6640625" style="1" customWidth="1"/>
    <col min="4561" max="4561" width="6.33203125" style="1" customWidth="1"/>
    <col min="4562" max="4565" width="8" style="1" customWidth="1"/>
    <col min="4566" max="4566" width="7.5" style="1" customWidth="1"/>
    <col min="4567" max="4568" width="8" style="1" customWidth="1"/>
    <col min="4569" max="4570" width="7.6640625" style="1" customWidth="1"/>
    <col min="4571" max="4571" width="9.6640625" style="1" customWidth="1"/>
    <col min="4572" max="4572" width="8.5" style="1" customWidth="1"/>
    <col min="4573" max="4573" width="7.6640625" style="1" customWidth="1"/>
    <col min="4574" max="4574" width="6.33203125" style="1" customWidth="1"/>
    <col min="4575" max="4575" width="8" style="1" customWidth="1"/>
    <col min="4576" max="4576" width="9.6640625" style="1" customWidth="1"/>
    <col min="4577" max="4577" width="8.5" style="1" customWidth="1"/>
    <col min="4578" max="4815" width="9" style="1"/>
    <col min="4816" max="4816" width="6.6640625" style="1" customWidth="1"/>
    <col min="4817" max="4817" width="6.33203125" style="1" customWidth="1"/>
    <col min="4818" max="4821" width="8" style="1" customWidth="1"/>
    <col min="4822" max="4822" width="7.5" style="1" customWidth="1"/>
    <col min="4823" max="4824" width="8" style="1" customWidth="1"/>
    <col min="4825" max="4826" width="7.6640625" style="1" customWidth="1"/>
    <col min="4827" max="4827" width="9.6640625" style="1" customWidth="1"/>
    <col min="4828" max="4828" width="8.5" style="1" customWidth="1"/>
    <col min="4829" max="4829" width="7.6640625" style="1" customWidth="1"/>
    <col min="4830" max="4830" width="6.33203125" style="1" customWidth="1"/>
    <col min="4831" max="4831" width="8" style="1" customWidth="1"/>
    <col min="4832" max="4832" width="9.6640625" style="1" customWidth="1"/>
    <col min="4833" max="4833" width="8.5" style="1" customWidth="1"/>
    <col min="4834" max="5071" width="9" style="1"/>
    <col min="5072" max="5072" width="6.6640625" style="1" customWidth="1"/>
    <col min="5073" max="5073" width="6.33203125" style="1" customWidth="1"/>
    <col min="5074" max="5077" width="8" style="1" customWidth="1"/>
    <col min="5078" max="5078" width="7.5" style="1" customWidth="1"/>
    <col min="5079" max="5080" width="8" style="1" customWidth="1"/>
    <col min="5081" max="5082" width="7.6640625" style="1" customWidth="1"/>
    <col min="5083" max="5083" width="9.6640625" style="1" customWidth="1"/>
    <col min="5084" max="5084" width="8.5" style="1" customWidth="1"/>
    <col min="5085" max="5085" width="7.6640625" style="1" customWidth="1"/>
    <col min="5086" max="5086" width="6.33203125" style="1" customWidth="1"/>
    <col min="5087" max="5087" width="8" style="1" customWidth="1"/>
    <col min="5088" max="5088" width="9.6640625" style="1" customWidth="1"/>
    <col min="5089" max="5089" width="8.5" style="1" customWidth="1"/>
    <col min="5090" max="5327" width="9" style="1"/>
    <col min="5328" max="5328" width="6.6640625" style="1" customWidth="1"/>
    <col min="5329" max="5329" width="6.33203125" style="1" customWidth="1"/>
    <col min="5330" max="5333" width="8" style="1" customWidth="1"/>
    <col min="5334" max="5334" width="7.5" style="1" customWidth="1"/>
    <col min="5335" max="5336" width="8" style="1" customWidth="1"/>
    <col min="5337" max="5338" width="7.6640625" style="1" customWidth="1"/>
    <col min="5339" max="5339" width="9.6640625" style="1" customWidth="1"/>
    <col min="5340" max="5340" width="8.5" style="1" customWidth="1"/>
    <col min="5341" max="5341" width="7.6640625" style="1" customWidth="1"/>
    <col min="5342" max="5342" width="6.33203125" style="1" customWidth="1"/>
    <col min="5343" max="5343" width="8" style="1" customWidth="1"/>
    <col min="5344" max="5344" width="9.6640625" style="1" customWidth="1"/>
    <col min="5345" max="5345" width="8.5" style="1" customWidth="1"/>
    <col min="5346" max="5583" width="9" style="1"/>
    <col min="5584" max="5584" width="6.6640625" style="1" customWidth="1"/>
    <col min="5585" max="5585" width="6.33203125" style="1" customWidth="1"/>
    <col min="5586" max="5589" width="8" style="1" customWidth="1"/>
    <col min="5590" max="5590" width="7.5" style="1" customWidth="1"/>
    <col min="5591" max="5592" width="8" style="1" customWidth="1"/>
    <col min="5593" max="5594" width="7.6640625" style="1" customWidth="1"/>
    <col min="5595" max="5595" width="9.6640625" style="1" customWidth="1"/>
    <col min="5596" max="5596" width="8.5" style="1" customWidth="1"/>
    <col min="5597" max="5597" width="7.6640625" style="1" customWidth="1"/>
    <col min="5598" max="5598" width="6.33203125" style="1" customWidth="1"/>
    <col min="5599" max="5599" width="8" style="1" customWidth="1"/>
    <col min="5600" max="5600" width="9.6640625" style="1" customWidth="1"/>
    <col min="5601" max="5601" width="8.5" style="1" customWidth="1"/>
    <col min="5602" max="5839" width="9" style="1"/>
    <col min="5840" max="5840" width="6.6640625" style="1" customWidth="1"/>
    <col min="5841" max="5841" width="6.33203125" style="1" customWidth="1"/>
    <col min="5842" max="5845" width="8" style="1" customWidth="1"/>
    <col min="5846" max="5846" width="7.5" style="1" customWidth="1"/>
    <col min="5847" max="5848" width="8" style="1" customWidth="1"/>
    <col min="5849" max="5850" width="7.6640625" style="1" customWidth="1"/>
    <col min="5851" max="5851" width="9.6640625" style="1" customWidth="1"/>
    <col min="5852" max="5852" width="8.5" style="1" customWidth="1"/>
    <col min="5853" max="5853" width="7.6640625" style="1" customWidth="1"/>
    <col min="5854" max="5854" width="6.33203125" style="1" customWidth="1"/>
    <col min="5855" max="5855" width="8" style="1" customWidth="1"/>
    <col min="5856" max="5856" width="9.6640625" style="1" customWidth="1"/>
    <col min="5857" max="5857" width="8.5" style="1" customWidth="1"/>
    <col min="5858" max="6095" width="9" style="1"/>
    <col min="6096" max="6096" width="6.6640625" style="1" customWidth="1"/>
    <col min="6097" max="6097" width="6.33203125" style="1" customWidth="1"/>
    <col min="6098" max="6101" width="8" style="1" customWidth="1"/>
    <col min="6102" max="6102" width="7.5" style="1" customWidth="1"/>
    <col min="6103" max="6104" width="8" style="1" customWidth="1"/>
    <col min="6105" max="6106" width="7.6640625" style="1" customWidth="1"/>
    <col min="6107" max="6107" width="9.6640625" style="1" customWidth="1"/>
    <col min="6108" max="6108" width="8.5" style="1" customWidth="1"/>
    <col min="6109" max="6109" width="7.6640625" style="1" customWidth="1"/>
    <col min="6110" max="6110" width="6.33203125" style="1" customWidth="1"/>
    <col min="6111" max="6111" width="8" style="1" customWidth="1"/>
    <col min="6112" max="6112" width="9.6640625" style="1" customWidth="1"/>
    <col min="6113" max="6113" width="8.5" style="1" customWidth="1"/>
    <col min="6114" max="6351" width="9" style="1"/>
    <col min="6352" max="6352" width="6.6640625" style="1" customWidth="1"/>
    <col min="6353" max="6353" width="6.33203125" style="1" customWidth="1"/>
    <col min="6354" max="6357" width="8" style="1" customWidth="1"/>
    <col min="6358" max="6358" width="7.5" style="1" customWidth="1"/>
    <col min="6359" max="6360" width="8" style="1" customWidth="1"/>
    <col min="6361" max="6362" width="7.6640625" style="1" customWidth="1"/>
    <col min="6363" max="6363" width="9.6640625" style="1" customWidth="1"/>
    <col min="6364" max="6364" width="8.5" style="1" customWidth="1"/>
    <col min="6365" max="6365" width="7.6640625" style="1" customWidth="1"/>
    <col min="6366" max="6366" width="6.33203125" style="1" customWidth="1"/>
    <col min="6367" max="6367" width="8" style="1" customWidth="1"/>
    <col min="6368" max="6368" width="9.6640625" style="1" customWidth="1"/>
    <col min="6369" max="6369" width="8.5" style="1" customWidth="1"/>
    <col min="6370" max="6607" width="9" style="1"/>
    <col min="6608" max="6608" width="6.6640625" style="1" customWidth="1"/>
    <col min="6609" max="6609" width="6.33203125" style="1" customWidth="1"/>
    <col min="6610" max="6613" width="8" style="1" customWidth="1"/>
    <col min="6614" max="6614" width="7.5" style="1" customWidth="1"/>
    <col min="6615" max="6616" width="8" style="1" customWidth="1"/>
    <col min="6617" max="6618" width="7.6640625" style="1" customWidth="1"/>
    <col min="6619" max="6619" width="9.6640625" style="1" customWidth="1"/>
    <col min="6620" max="6620" width="8.5" style="1" customWidth="1"/>
    <col min="6621" max="6621" width="7.6640625" style="1" customWidth="1"/>
    <col min="6622" max="6622" width="6.33203125" style="1" customWidth="1"/>
    <col min="6623" max="6623" width="8" style="1" customWidth="1"/>
    <col min="6624" max="6624" width="9.6640625" style="1" customWidth="1"/>
    <col min="6625" max="6625" width="8.5" style="1" customWidth="1"/>
    <col min="6626" max="6863" width="9" style="1"/>
    <col min="6864" max="6864" width="6.6640625" style="1" customWidth="1"/>
    <col min="6865" max="6865" width="6.33203125" style="1" customWidth="1"/>
    <col min="6866" max="6869" width="8" style="1" customWidth="1"/>
    <col min="6870" max="6870" width="7.5" style="1" customWidth="1"/>
    <col min="6871" max="6872" width="8" style="1" customWidth="1"/>
    <col min="6873" max="6874" width="7.6640625" style="1" customWidth="1"/>
    <col min="6875" max="6875" width="9.6640625" style="1" customWidth="1"/>
    <col min="6876" max="6876" width="8.5" style="1" customWidth="1"/>
    <col min="6877" max="6877" width="7.6640625" style="1" customWidth="1"/>
    <col min="6878" max="6878" width="6.33203125" style="1" customWidth="1"/>
    <col min="6879" max="6879" width="8" style="1" customWidth="1"/>
    <col min="6880" max="6880" width="9.6640625" style="1" customWidth="1"/>
    <col min="6881" max="6881" width="8.5" style="1" customWidth="1"/>
    <col min="6882" max="7119" width="9" style="1"/>
    <col min="7120" max="7120" width="6.6640625" style="1" customWidth="1"/>
    <col min="7121" max="7121" width="6.33203125" style="1" customWidth="1"/>
    <col min="7122" max="7125" width="8" style="1" customWidth="1"/>
    <col min="7126" max="7126" width="7.5" style="1" customWidth="1"/>
    <col min="7127" max="7128" width="8" style="1" customWidth="1"/>
    <col min="7129" max="7130" width="7.6640625" style="1" customWidth="1"/>
    <col min="7131" max="7131" width="9.6640625" style="1" customWidth="1"/>
    <col min="7132" max="7132" width="8.5" style="1" customWidth="1"/>
    <col min="7133" max="7133" width="7.6640625" style="1" customWidth="1"/>
    <col min="7134" max="7134" width="6.33203125" style="1" customWidth="1"/>
    <col min="7135" max="7135" width="8" style="1" customWidth="1"/>
    <col min="7136" max="7136" width="9.6640625" style="1" customWidth="1"/>
    <col min="7137" max="7137" width="8.5" style="1" customWidth="1"/>
    <col min="7138" max="7375" width="9" style="1"/>
    <col min="7376" max="7376" width="6.6640625" style="1" customWidth="1"/>
    <col min="7377" max="7377" width="6.33203125" style="1" customWidth="1"/>
    <col min="7378" max="7381" width="8" style="1" customWidth="1"/>
    <col min="7382" max="7382" width="7.5" style="1" customWidth="1"/>
    <col min="7383" max="7384" width="8" style="1" customWidth="1"/>
    <col min="7385" max="7386" width="7.6640625" style="1" customWidth="1"/>
    <col min="7387" max="7387" width="9.6640625" style="1" customWidth="1"/>
    <col min="7388" max="7388" width="8.5" style="1" customWidth="1"/>
    <col min="7389" max="7389" width="7.6640625" style="1" customWidth="1"/>
    <col min="7390" max="7390" width="6.33203125" style="1" customWidth="1"/>
    <col min="7391" max="7391" width="8" style="1" customWidth="1"/>
    <col min="7392" max="7392" width="9.6640625" style="1" customWidth="1"/>
    <col min="7393" max="7393" width="8.5" style="1" customWidth="1"/>
    <col min="7394" max="7631" width="9" style="1"/>
    <col min="7632" max="7632" width="6.6640625" style="1" customWidth="1"/>
    <col min="7633" max="7633" width="6.33203125" style="1" customWidth="1"/>
    <col min="7634" max="7637" width="8" style="1" customWidth="1"/>
    <col min="7638" max="7638" width="7.5" style="1" customWidth="1"/>
    <col min="7639" max="7640" width="8" style="1" customWidth="1"/>
    <col min="7641" max="7642" width="7.6640625" style="1" customWidth="1"/>
    <col min="7643" max="7643" width="9.6640625" style="1" customWidth="1"/>
    <col min="7644" max="7644" width="8.5" style="1" customWidth="1"/>
    <col min="7645" max="7645" width="7.6640625" style="1" customWidth="1"/>
    <col min="7646" max="7646" width="6.33203125" style="1" customWidth="1"/>
    <col min="7647" max="7647" width="8" style="1" customWidth="1"/>
    <col min="7648" max="7648" width="9.6640625" style="1" customWidth="1"/>
    <col min="7649" max="7649" width="8.5" style="1" customWidth="1"/>
    <col min="7650" max="7887" width="9" style="1"/>
    <col min="7888" max="7888" width="6.6640625" style="1" customWidth="1"/>
    <col min="7889" max="7889" width="6.33203125" style="1" customWidth="1"/>
    <col min="7890" max="7893" width="8" style="1" customWidth="1"/>
    <col min="7894" max="7894" width="7.5" style="1" customWidth="1"/>
    <col min="7895" max="7896" width="8" style="1" customWidth="1"/>
    <col min="7897" max="7898" width="7.6640625" style="1" customWidth="1"/>
    <col min="7899" max="7899" width="9.6640625" style="1" customWidth="1"/>
    <col min="7900" max="7900" width="8.5" style="1" customWidth="1"/>
    <col min="7901" max="7901" width="7.6640625" style="1" customWidth="1"/>
    <col min="7902" max="7902" width="6.33203125" style="1" customWidth="1"/>
    <col min="7903" max="7903" width="8" style="1" customWidth="1"/>
    <col min="7904" max="7904" width="9.6640625" style="1" customWidth="1"/>
    <col min="7905" max="7905" width="8.5" style="1" customWidth="1"/>
    <col min="7906" max="8143" width="9" style="1"/>
    <col min="8144" max="8144" width="6.6640625" style="1" customWidth="1"/>
    <col min="8145" max="8145" width="6.33203125" style="1" customWidth="1"/>
    <col min="8146" max="8149" width="8" style="1" customWidth="1"/>
    <col min="8150" max="8150" width="7.5" style="1" customWidth="1"/>
    <col min="8151" max="8152" width="8" style="1" customWidth="1"/>
    <col min="8153" max="8154" width="7.6640625" style="1" customWidth="1"/>
    <col min="8155" max="8155" width="9.6640625" style="1" customWidth="1"/>
    <col min="8156" max="8156" width="8.5" style="1" customWidth="1"/>
    <col min="8157" max="8157" width="7.6640625" style="1" customWidth="1"/>
    <col min="8158" max="8158" width="6.33203125" style="1" customWidth="1"/>
    <col min="8159" max="8159" width="8" style="1" customWidth="1"/>
    <col min="8160" max="8160" width="9.6640625" style="1" customWidth="1"/>
    <col min="8161" max="8161" width="8.5" style="1" customWidth="1"/>
    <col min="8162" max="8399" width="9" style="1"/>
    <col min="8400" max="8400" width="6.6640625" style="1" customWidth="1"/>
    <col min="8401" max="8401" width="6.33203125" style="1" customWidth="1"/>
    <col min="8402" max="8405" width="8" style="1" customWidth="1"/>
    <col min="8406" max="8406" width="7.5" style="1" customWidth="1"/>
    <col min="8407" max="8408" width="8" style="1" customWidth="1"/>
    <col min="8409" max="8410" width="7.6640625" style="1" customWidth="1"/>
    <col min="8411" max="8411" width="9.6640625" style="1" customWidth="1"/>
    <col min="8412" max="8412" width="8.5" style="1" customWidth="1"/>
    <col min="8413" max="8413" width="7.6640625" style="1" customWidth="1"/>
    <col min="8414" max="8414" width="6.33203125" style="1" customWidth="1"/>
    <col min="8415" max="8415" width="8" style="1" customWidth="1"/>
    <col min="8416" max="8416" width="9.6640625" style="1" customWidth="1"/>
    <col min="8417" max="8417" width="8.5" style="1" customWidth="1"/>
    <col min="8418" max="8655" width="9" style="1"/>
    <col min="8656" max="8656" width="6.6640625" style="1" customWidth="1"/>
    <col min="8657" max="8657" width="6.33203125" style="1" customWidth="1"/>
    <col min="8658" max="8661" width="8" style="1" customWidth="1"/>
    <col min="8662" max="8662" width="7.5" style="1" customWidth="1"/>
    <col min="8663" max="8664" width="8" style="1" customWidth="1"/>
    <col min="8665" max="8666" width="7.6640625" style="1" customWidth="1"/>
    <col min="8667" max="8667" width="9.6640625" style="1" customWidth="1"/>
    <col min="8668" max="8668" width="8.5" style="1" customWidth="1"/>
    <col min="8669" max="8669" width="7.6640625" style="1" customWidth="1"/>
    <col min="8670" max="8670" width="6.33203125" style="1" customWidth="1"/>
    <col min="8671" max="8671" width="8" style="1" customWidth="1"/>
    <col min="8672" max="8672" width="9.6640625" style="1" customWidth="1"/>
    <col min="8673" max="8673" width="8.5" style="1" customWidth="1"/>
    <col min="8674" max="8911" width="9" style="1"/>
    <col min="8912" max="8912" width="6.6640625" style="1" customWidth="1"/>
    <col min="8913" max="8913" width="6.33203125" style="1" customWidth="1"/>
    <col min="8914" max="8917" width="8" style="1" customWidth="1"/>
    <col min="8918" max="8918" width="7.5" style="1" customWidth="1"/>
    <col min="8919" max="8920" width="8" style="1" customWidth="1"/>
    <col min="8921" max="8922" width="7.6640625" style="1" customWidth="1"/>
    <col min="8923" max="8923" width="9.6640625" style="1" customWidth="1"/>
    <col min="8924" max="8924" width="8.5" style="1" customWidth="1"/>
    <col min="8925" max="8925" width="7.6640625" style="1" customWidth="1"/>
    <col min="8926" max="8926" width="6.33203125" style="1" customWidth="1"/>
    <col min="8927" max="8927" width="8" style="1" customWidth="1"/>
    <col min="8928" max="8928" width="9.6640625" style="1" customWidth="1"/>
    <col min="8929" max="8929" width="8.5" style="1" customWidth="1"/>
    <col min="8930" max="9167" width="9" style="1"/>
    <col min="9168" max="9168" width="6.6640625" style="1" customWidth="1"/>
    <col min="9169" max="9169" width="6.33203125" style="1" customWidth="1"/>
    <col min="9170" max="9173" width="8" style="1" customWidth="1"/>
    <col min="9174" max="9174" width="7.5" style="1" customWidth="1"/>
    <col min="9175" max="9176" width="8" style="1" customWidth="1"/>
    <col min="9177" max="9178" width="7.6640625" style="1" customWidth="1"/>
    <col min="9179" max="9179" width="9.6640625" style="1" customWidth="1"/>
    <col min="9180" max="9180" width="8.5" style="1" customWidth="1"/>
    <col min="9181" max="9181" width="7.6640625" style="1" customWidth="1"/>
    <col min="9182" max="9182" width="6.33203125" style="1" customWidth="1"/>
    <col min="9183" max="9183" width="8" style="1" customWidth="1"/>
    <col min="9184" max="9184" width="9.6640625" style="1" customWidth="1"/>
    <col min="9185" max="9185" width="8.5" style="1" customWidth="1"/>
    <col min="9186" max="9423" width="9" style="1"/>
    <col min="9424" max="9424" width="6.6640625" style="1" customWidth="1"/>
    <col min="9425" max="9425" width="6.33203125" style="1" customWidth="1"/>
    <col min="9426" max="9429" width="8" style="1" customWidth="1"/>
    <col min="9430" max="9430" width="7.5" style="1" customWidth="1"/>
    <col min="9431" max="9432" width="8" style="1" customWidth="1"/>
    <col min="9433" max="9434" width="7.6640625" style="1" customWidth="1"/>
    <col min="9435" max="9435" width="9.6640625" style="1" customWidth="1"/>
    <col min="9436" max="9436" width="8.5" style="1" customWidth="1"/>
    <col min="9437" max="9437" width="7.6640625" style="1" customWidth="1"/>
    <col min="9438" max="9438" width="6.33203125" style="1" customWidth="1"/>
    <col min="9439" max="9439" width="8" style="1" customWidth="1"/>
    <col min="9440" max="9440" width="9.6640625" style="1" customWidth="1"/>
    <col min="9441" max="9441" width="8.5" style="1" customWidth="1"/>
    <col min="9442" max="9679" width="9" style="1"/>
    <col min="9680" max="9680" width="6.6640625" style="1" customWidth="1"/>
    <col min="9681" max="9681" width="6.33203125" style="1" customWidth="1"/>
    <col min="9682" max="9685" width="8" style="1" customWidth="1"/>
    <col min="9686" max="9686" width="7.5" style="1" customWidth="1"/>
    <col min="9687" max="9688" width="8" style="1" customWidth="1"/>
    <col min="9689" max="9690" width="7.6640625" style="1" customWidth="1"/>
    <col min="9691" max="9691" width="9.6640625" style="1" customWidth="1"/>
    <col min="9692" max="9692" width="8.5" style="1" customWidth="1"/>
    <col min="9693" max="9693" width="7.6640625" style="1" customWidth="1"/>
    <col min="9694" max="9694" width="6.33203125" style="1" customWidth="1"/>
    <col min="9695" max="9695" width="8" style="1" customWidth="1"/>
    <col min="9696" max="9696" width="9.6640625" style="1" customWidth="1"/>
    <col min="9697" max="9697" width="8.5" style="1" customWidth="1"/>
    <col min="9698" max="9935" width="9" style="1"/>
    <col min="9936" max="9936" width="6.6640625" style="1" customWidth="1"/>
    <col min="9937" max="9937" width="6.33203125" style="1" customWidth="1"/>
    <col min="9938" max="9941" width="8" style="1" customWidth="1"/>
    <col min="9942" max="9942" width="7.5" style="1" customWidth="1"/>
    <col min="9943" max="9944" width="8" style="1" customWidth="1"/>
    <col min="9945" max="9946" width="7.6640625" style="1" customWidth="1"/>
    <col min="9947" max="9947" width="9.6640625" style="1" customWidth="1"/>
    <col min="9948" max="9948" width="8.5" style="1" customWidth="1"/>
    <col min="9949" max="9949" width="7.6640625" style="1" customWidth="1"/>
    <col min="9950" max="9950" width="6.33203125" style="1" customWidth="1"/>
    <col min="9951" max="9951" width="8" style="1" customWidth="1"/>
    <col min="9952" max="9952" width="9.6640625" style="1" customWidth="1"/>
    <col min="9953" max="9953" width="8.5" style="1" customWidth="1"/>
    <col min="9954" max="10191" width="9" style="1"/>
    <col min="10192" max="10192" width="6.6640625" style="1" customWidth="1"/>
    <col min="10193" max="10193" width="6.33203125" style="1" customWidth="1"/>
    <col min="10194" max="10197" width="8" style="1" customWidth="1"/>
    <col min="10198" max="10198" width="7.5" style="1" customWidth="1"/>
    <col min="10199" max="10200" width="8" style="1" customWidth="1"/>
    <col min="10201" max="10202" width="7.6640625" style="1" customWidth="1"/>
    <col min="10203" max="10203" width="9.6640625" style="1" customWidth="1"/>
    <col min="10204" max="10204" width="8.5" style="1" customWidth="1"/>
    <col min="10205" max="10205" width="7.6640625" style="1" customWidth="1"/>
    <col min="10206" max="10206" width="6.33203125" style="1" customWidth="1"/>
    <col min="10207" max="10207" width="8" style="1" customWidth="1"/>
    <col min="10208" max="10208" width="9.6640625" style="1" customWidth="1"/>
    <col min="10209" max="10209" width="8.5" style="1" customWidth="1"/>
    <col min="10210" max="10447" width="9" style="1"/>
    <col min="10448" max="10448" width="6.6640625" style="1" customWidth="1"/>
    <col min="10449" max="10449" width="6.33203125" style="1" customWidth="1"/>
    <col min="10450" max="10453" width="8" style="1" customWidth="1"/>
    <col min="10454" max="10454" width="7.5" style="1" customWidth="1"/>
    <col min="10455" max="10456" width="8" style="1" customWidth="1"/>
    <col min="10457" max="10458" width="7.6640625" style="1" customWidth="1"/>
    <col min="10459" max="10459" width="9.6640625" style="1" customWidth="1"/>
    <col min="10460" max="10460" width="8.5" style="1" customWidth="1"/>
    <col min="10461" max="10461" width="7.6640625" style="1" customWidth="1"/>
    <col min="10462" max="10462" width="6.33203125" style="1" customWidth="1"/>
    <col min="10463" max="10463" width="8" style="1" customWidth="1"/>
    <col min="10464" max="10464" width="9.6640625" style="1" customWidth="1"/>
    <col min="10465" max="10465" width="8.5" style="1" customWidth="1"/>
    <col min="10466" max="10703" width="9" style="1"/>
    <col min="10704" max="10704" width="6.6640625" style="1" customWidth="1"/>
    <col min="10705" max="10705" width="6.33203125" style="1" customWidth="1"/>
    <col min="10706" max="10709" width="8" style="1" customWidth="1"/>
    <col min="10710" max="10710" width="7.5" style="1" customWidth="1"/>
    <col min="10711" max="10712" width="8" style="1" customWidth="1"/>
    <col min="10713" max="10714" width="7.6640625" style="1" customWidth="1"/>
    <col min="10715" max="10715" width="9.6640625" style="1" customWidth="1"/>
    <col min="10716" max="10716" width="8.5" style="1" customWidth="1"/>
    <col min="10717" max="10717" width="7.6640625" style="1" customWidth="1"/>
    <col min="10718" max="10718" width="6.33203125" style="1" customWidth="1"/>
    <col min="10719" max="10719" width="8" style="1" customWidth="1"/>
    <col min="10720" max="10720" width="9.6640625" style="1" customWidth="1"/>
    <col min="10721" max="10721" width="8.5" style="1" customWidth="1"/>
    <col min="10722" max="10959" width="9" style="1"/>
    <col min="10960" max="10960" width="6.6640625" style="1" customWidth="1"/>
    <col min="10961" max="10961" width="6.33203125" style="1" customWidth="1"/>
    <col min="10962" max="10965" width="8" style="1" customWidth="1"/>
    <col min="10966" max="10966" width="7.5" style="1" customWidth="1"/>
    <col min="10967" max="10968" width="8" style="1" customWidth="1"/>
    <col min="10969" max="10970" width="7.6640625" style="1" customWidth="1"/>
    <col min="10971" max="10971" width="9.6640625" style="1" customWidth="1"/>
    <col min="10972" max="10972" width="8.5" style="1" customWidth="1"/>
    <col min="10973" max="10973" width="7.6640625" style="1" customWidth="1"/>
    <col min="10974" max="10974" width="6.33203125" style="1" customWidth="1"/>
    <col min="10975" max="10975" width="8" style="1" customWidth="1"/>
    <col min="10976" max="10976" width="9.6640625" style="1" customWidth="1"/>
    <col min="10977" max="10977" width="8.5" style="1" customWidth="1"/>
    <col min="10978" max="11215" width="9" style="1"/>
    <col min="11216" max="11216" width="6.6640625" style="1" customWidth="1"/>
    <col min="11217" max="11217" width="6.33203125" style="1" customWidth="1"/>
    <col min="11218" max="11221" width="8" style="1" customWidth="1"/>
    <col min="11222" max="11222" width="7.5" style="1" customWidth="1"/>
    <col min="11223" max="11224" width="8" style="1" customWidth="1"/>
    <col min="11225" max="11226" width="7.6640625" style="1" customWidth="1"/>
    <col min="11227" max="11227" width="9.6640625" style="1" customWidth="1"/>
    <col min="11228" max="11228" width="8.5" style="1" customWidth="1"/>
    <col min="11229" max="11229" width="7.6640625" style="1" customWidth="1"/>
    <col min="11230" max="11230" width="6.33203125" style="1" customWidth="1"/>
    <col min="11231" max="11231" width="8" style="1" customWidth="1"/>
    <col min="11232" max="11232" width="9.6640625" style="1" customWidth="1"/>
    <col min="11233" max="11233" width="8.5" style="1" customWidth="1"/>
    <col min="11234" max="11471" width="9" style="1"/>
    <col min="11472" max="11472" width="6.6640625" style="1" customWidth="1"/>
    <col min="11473" max="11473" width="6.33203125" style="1" customWidth="1"/>
    <col min="11474" max="11477" width="8" style="1" customWidth="1"/>
    <col min="11478" max="11478" width="7.5" style="1" customWidth="1"/>
    <col min="11479" max="11480" width="8" style="1" customWidth="1"/>
    <col min="11481" max="11482" width="7.6640625" style="1" customWidth="1"/>
    <col min="11483" max="11483" width="9.6640625" style="1" customWidth="1"/>
    <col min="11484" max="11484" width="8.5" style="1" customWidth="1"/>
    <col min="11485" max="11485" width="7.6640625" style="1" customWidth="1"/>
    <col min="11486" max="11486" width="6.33203125" style="1" customWidth="1"/>
    <col min="11487" max="11487" width="8" style="1" customWidth="1"/>
    <col min="11488" max="11488" width="9.6640625" style="1" customWidth="1"/>
    <col min="11489" max="11489" width="8.5" style="1" customWidth="1"/>
    <col min="11490" max="11727" width="9" style="1"/>
    <col min="11728" max="11728" width="6.6640625" style="1" customWidth="1"/>
    <col min="11729" max="11729" width="6.33203125" style="1" customWidth="1"/>
    <col min="11730" max="11733" width="8" style="1" customWidth="1"/>
    <col min="11734" max="11734" width="7.5" style="1" customWidth="1"/>
    <col min="11735" max="11736" width="8" style="1" customWidth="1"/>
    <col min="11737" max="11738" width="7.6640625" style="1" customWidth="1"/>
    <col min="11739" max="11739" width="9.6640625" style="1" customWidth="1"/>
    <col min="11740" max="11740" width="8.5" style="1" customWidth="1"/>
    <col min="11741" max="11741" width="7.6640625" style="1" customWidth="1"/>
    <col min="11742" max="11742" width="6.33203125" style="1" customWidth="1"/>
    <col min="11743" max="11743" width="8" style="1" customWidth="1"/>
    <col min="11744" max="11744" width="9.6640625" style="1" customWidth="1"/>
    <col min="11745" max="11745" width="8.5" style="1" customWidth="1"/>
    <col min="11746" max="11983" width="9" style="1"/>
    <col min="11984" max="11984" width="6.6640625" style="1" customWidth="1"/>
    <col min="11985" max="11985" width="6.33203125" style="1" customWidth="1"/>
    <col min="11986" max="11989" width="8" style="1" customWidth="1"/>
    <col min="11990" max="11990" width="7.5" style="1" customWidth="1"/>
    <col min="11991" max="11992" width="8" style="1" customWidth="1"/>
    <col min="11993" max="11994" width="7.6640625" style="1" customWidth="1"/>
    <col min="11995" max="11995" width="9.6640625" style="1" customWidth="1"/>
    <col min="11996" max="11996" width="8.5" style="1" customWidth="1"/>
    <col min="11997" max="11997" width="7.6640625" style="1" customWidth="1"/>
    <col min="11998" max="11998" width="6.33203125" style="1" customWidth="1"/>
    <col min="11999" max="11999" width="8" style="1" customWidth="1"/>
    <col min="12000" max="12000" width="9.6640625" style="1" customWidth="1"/>
    <col min="12001" max="12001" width="8.5" style="1" customWidth="1"/>
    <col min="12002" max="12239" width="9" style="1"/>
    <col min="12240" max="12240" width="6.6640625" style="1" customWidth="1"/>
    <col min="12241" max="12241" width="6.33203125" style="1" customWidth="1"/>
    <col min="12242" max="12245" width="8" style="1" customWidth="1"/>
    <col min="12246" max="12246" width="7.5" style="1" customWidth="1"/>
    <col min="12247" max="12248" width="8" style="1" customWidth="1"/>
    <col min="12249" max="12250" width="7.6640625" style="1" customWidth="1"/>
    <col min="12251" max="12251" width="9.6640625" style="1" customWidth="1"/>
    <col min="12252" max="12252" width="8.5" style="1" customWidth="1"/>
    <col min="12253" max="12253" width="7.6640625" style="1" customWidth="1"/>
    <col min="12254" max="12254" width="6.33203125" style="1" customWidth="1"/>
    <col min="12255" max="12255" width="8" style="1" customWidth="1"/>
    <col min="12256" max="12256" width="9.6640625" style="1" customWidth="1"/>
    <col min="12257" max="12257" width="8.5" style="1" customWidth="1"/>
    <col min="12258" max="12495" width="9" style="1"/>
    <col min="12496" max="12496" width="6.6640625" style="1" customWidth="1"/>
    <col min="12497" max="12497" width="6.33203125" style="1" customWidth="1"/>
    <col min="12498" max="12501" width="8" style="1" customWidth="1"/>
    <col min="12502" max="12502" width="7.5" style="1" customWidth="1"/>
    <col min="12503" max="12504" width="8" style="1" customWidth="1"/>
    <col min="12505" max="12506" width="7.6640625" style="1" customWidth="1"/>
    <col min="12507" max="12507" width="9.6640625" style="1" customWidth="1"/>
    <col min="12508" max="12508" width="8.5" style="1" customWidth="1"/>
    <col min="12509" max="12509" width="7.6640625" style="1" customWidth="1"/>
    <col min="12510" max="12510" width="6.33203125" style="1" customWidth="1"/>
    <col min="12511" max="12511" width="8" style="1" customWidth="1"/>
    <col min="12512" max="12512" width="9.6640625" style="1" customWidth="1"/>
    <col min="12513" max="12513" width="8.5" style="1" customWidth="1"/>
    <col min="12514" max="12751" width="9" style="1"/>
    <col min="12752" max="12752" width="6.6640625" style="1" customWidth="1"/>
    <col min="12753" max="12753" width="6.33203125" style="1" customWidth="1"/>
    <col min="12754" max="12757" width="8" style="1" customWidth="1"/>
    <col min="12758" max="12758" width="7.5" style="1" customWidth="1"/>
    <col min="12759" max="12760" width="8" style="1" customWidth="1"/>
    <col min="12761" max="12762" width="7.6640625" style="1" customWidth="1"/>
    <col min="12763" max="12763" width="9.6640625" style="1" customWidth="1"/>
    <col min="12764" max="12764" width="8.5" style="1" customWidth="1"/>
    <col min="12765" max="12765" width="7.6640625" style="1" customWidth="1"/>
    <col min="12766" max="12766" width="6.33203125" style="1" customWidth="1"/>
    <col min="12767" max="12767" width="8" style="1" customWidth="1"/>
    <col min="12768" max="12768" width="9.6640625" style="1" customWidth="1"/>
    <col min="12769" max="12769" width="8.5" style="1" customWidth="1"/>
    <col min="12770" max="13007" width="9" style="1"/>
    <col min="13008" max="13008" width="6.6640625" style="1" customWidth="1"/>
    <col min="13009" max="13009" width="6.33203125" style="1" customWidth="1"/>
    <col min="13010" max="13013" width="8" style="1" customWidth="1"/>
    <col min="13014" max="13014" width="7.5" style="1" customWidth="1"/>
    <col min="13015" max="13016" width="8" style="1" customWidth="1"/>
    <col min="13017" max="13018" width="7.6640625" style="1" customWidth="1"/>
    <col min="13019" max="13019" width="9.6640625" style="1" customWidth="1"/>
    <col min="13020" max="13020" width="8.5" style="1" customWidth="1"/>
    <col min="13021" max="13021" width="7.6640625" style="1" customWidth="1"/>
    <col min="13022" max="13022" width="6.33203125" style="1" customWidth="1"/>
    <col min="13023" max="13023" width="8" style="1" customWidth="1"/>
    <col min="13024" max="13024" width="9.6640625" style="1" customWidth="1"/>
    <col min="13025" max="13025" width="8.5" style="1" customWidth="1"/>
    <col min="13026" max="13263" width="9" style="1"/>
    <col min="13264" max="13264" width="6.6640625" style="1" customWidth="1"/>
    <col min="13265" max="13265" width="6.33203125" style="1" customWidth="1"/>
    <col min="13266" max="13269" width="8" style="1" customWidth="1"/>
    <col min="13270" max="13270" width="7.5" style="1" customWidth="1"/>
    <col min="13271" max="13272" width="8" style="1" customWidth="1"/>
    <col min="13273" max="13274" width="7.6640625" style="1" customWidth="1"/>
    <col min="13275" max="13275" width="9.6640625" style="1" customWidth="1"/>
    <col min="13276" max="13276" width="8.5" style="1" customWidth="1"/>
    <col min="13277" max="13277" width="7.6640625" style="1" customWidth="1"/>
    <col min="13278" max="13278" width="6.33203125" style="1" customWidth="1"/>
    <col min="13279" max="13279" width="8" style="1" customWidth="1"/>
    <col min="13280" max="13280" width="9.6640625" style="1" customWidth="1"/>
    <col min="13281" max="13281" width="8.5" style="1" customWidth="1"/>
    <col min="13282" max="13519" width="9" style="1"/>
    <col min="13520" max="13520" width="6.6640625" style="1" customWidth="1"/>
    <col min="13521" max="13521" width="6.33203125" style="1" customWidth="1"/>
    <col min="13522" max="13525" width="8" style="1" customWidth="1"/>
    <col min="13526" max="13526" width="7.5" style="1" customWidth="1"/>
    <col min="13527" max="13528" width="8" style="1" customWidth="1"/>
    <col min="13529" max="13530" width="7.6640625" style="1" customWidth="1"/>
    <col min="13531" max="13531" width="9.6640625" style="1" customWidth="1"/>
    <col min="13532" max="13532" width="8.5" style="1" customWidth="1"/>
    <col min="13533" max="13533" width="7.6640625" style="1" customWidth="1"/>
    <col min="13534" max="13534" width="6.33203125" style="1" customWidth="1"/>
    <col min="13535" max="13535" width="8" style="1" customWidth="1"/>
    <col min="13536" max="13536" width="9.6640625" style="1" customWidth="1"/>
    <col min="13537" max="13537" width="8.5" style="1" customWidth="1"/>
    <col min="13538" max="13775" width="9" style="1"/>
    <col min="13776" max="13776" width="6.6640625" style="1" customWidth="1"/>
    <col min="13777" max="13777" width="6.33203125" style="1" customWidth="1"/>
    <col min="13778" max="13781" width="8" style="1" customWidth="1"/>
    <col min="13782" max="13782" width="7.5" style="1" customWidth="1"/>
    <col min="13783" max="13784" width="8" style="1" customWidth="1"/>
    <col min="13785" max="13786" width="7.6640625" style="1" customWidth="1"/>
    <col min="13787" max="13787" width="9.6640625" style="1" customWidth="1"/>
    <col min="13788" max="13788" width="8.5" style="1" customWidth="1"/>
    <col min="13789" max="13789" width="7.6640625" style="1" customWidth="1"/>
    <col min="13790" max="13790" width="6.33203125" style="1" customWidth="1"/>
    <col min="13791" max="13791" width="8" style="1" customWidth="1"/>
    <col min="13792" max="13792" width="9.6640625" style="1" customWidth="1"/>
    <col min="13793" max="13793" width="8.5" style="1" customWidth="1"/>
    <col min="13794" max="14031" width="9" style="1"/>
    <col min="14032" max="14032" width="6.6640625" style="1" customWidth="1"/>
    <col min="14033" max="14033" width="6.33203125" style="1" customWidth="1"/>
    <col min="14034" max="14037" width="8" style="1" customWidth="1"/>
    <col min="14038" max="14038" width="7.5" style="1" customWidth="1"/>
    <col min="14039" max="14040" width="8" style="1" customWidth="1"/>
    <col min="14041" max="14042" width="7.6640625" style="1" customWidth="1"/>
    <col min="14043" max="14043" width="9.6640625" style="1" customWidth="1"/>
    <col min="14044" max="14044" width="8.5" style="1" customWidth="1"/>
    <col min="14045" max="14045" width="7.6640625" style="1" customWidth="1"/>
    <col min="14046" max="14046" width="6.33203125" style="1" customWidth="1"/>
    <col min="14047" max="14047" width="8" style="1" customWidth="1"/>
    <col min="14048" max="14048" width="9.6640625" style="1" customWidth="1"/>
    <col min="14049" max="14049" width="8.5" style="1" customWidth="1"/>
    <col min="14050" max="14287" width="9" style="1"/>
    <col min="14288" max="14288" width="6.6640625" style="1" customWidth="1"/>
    <col min="14289" max="14289" width="6.33203125" style="1" customWidth="1"/>
    <col min="14290" max="14293" width="8" style="1" customWidth="1"/>
    <col min="14294" max="14294" width="7.5" style="1" customWidth="1"/>
    <col min="14295" max="14296" width="8" style="1" customWidth="1"/>
    <col min="14297" max="14298" width="7.6640625" style="1" customWidth="1"/>
    <col min="14299" max="14299" width="9.6640625" style="1" customWidth="1"/>
    <col min="14300" max="14300" width="8.5" style="1" customWidth="1"/>
    <col min="14301" max="14301" width="7.6640625" style="1" customWidth="1"/>
    <col min="14302" max="14302" width="6.33203125" style="1" customWidth="1"/>
    <col min="14303" max="14303" width="8" style="1" customWidth="1"/>
    <col min="14304" max="14304" width="9.6640625" style="1" customWidth="1"/>
    <col min="14305" max="14305" width="8.5" style="1" customWidth="1"/>
    <col min="14306" max="14543" width="9" style="1"/>
    <col min="14544" max="14544" width="6.6640625" style="1" customWidth="1"/>
    <col min="14545" max="14545" width="6.33203125" style="1" customWidth="1"/>
    <col min="14546" max="14549" width="8" style="1" customWidth="1"/>
    <col min="14550" max="14550" width="7.5" style="1" customWidth="1"/>
    <col min="14551" max="14552" width="8" style="1" customWidth="1"/>
    <col min="14553" max="14554" width="7.6640625" style="1" customWidth="1"/>
    <col min="14555" max="14555" width="9.6640625" style="1" customWidth="1"/>
    <col min="14556" max="14556" width="8.5" style="1" customWidth="1"/>
    <col min="14557" max="14557" width="7.6640625" style="1" customWidth="1"/>
    <col min="14558" max="14558" width="6.33203125" style="1" customWidth="1"/>
    <col min="14559" max="14559" width="8" style="1" customWidth="1"/>
    <col min="14560" max="14560" width="9.6640625" style="1" customWidth="1"/>
    <col min="14561" max="14561" width="8.5" style="1" customWidth="1"/>
    <col min="14562" max="14799" width="9" style="1"/>
    <col min="14800" max="14800" width="6.6640625" style="1" customWidth="1"/>
    <col min="14801" max="14801" width="6.33203125" style="1" customWidth="1"/>
    <col min="14802" max="14805" width="8" style="1" customWidth="1"/>
    <col min="14806" max="14806" width="7.5" style="1" customWidth="1"/>
    <col min="14807" max="14808" width="8" style="1" customWidth="1"/>
    <col min="14809" max="14810" width="7.6640625" style="1" customWidth="1"/>
    <col min="14811" max="14811" width="9.6640625" style="1" customWidth="1"/>
    <col min="14812" max="14812" width="8.5" style="1" customWidth="1"/>
    <col min="14813" max="14813" width="7.6640625" style="1" customWidth="1"/>
    <col min="14814" max="14814" width="6.33203125" style="1" customWidth="1"/>
    <col min="14815" max="14815" width="8" style="1" customWidth="1"/>
    <col min="14816" max="14816" width="9.6640625" style="1" customWidth="1"/>
    <col min="14817" max="14817" width="8.5" style="1" customWidth="1"/>
    <col min="14818" max="15055" width="9" style="1"/>
    <col min="15056" max="15056" width="6.6640625" style="1" customWidth="1"/>
    <col min="15057" max="15057" width="6.33203125" style="1" customWidth="1"/>
    <col min="15058" max="15061" width="8" style="1" customWidth="1"/>
    <col min="15062" max="15062" width="7.5" style="1" customWidth="1"/>
    <col min="15063" max="15064" width="8" style="1" customWidth="1"/>
    <col min="15065" max="15066" width="7.6640625" style="1" customWidth="1"/>
    <col min="15067" max="15067" width="9.6640625" style="1" customWidth="1"/>
    <col min="15068" max="15068" width="8.5" style="1" customWidth="1"/>
    <col min="15069" max="15069" width="7.6640625" style="1" customWidth="1"/>
    <col min="15070" max="15070" width="6.33203125" style="1" customWidth="1"/>
    <col min="15071" max="15071" width="8" style="1" customWidth="1"/>
    <col min="15072" max="15072" width="9.6640625" style="1" customWidth="1"/>
    <col min="15073" max="15073" width="8.5" style="1" customWidth="1"/>
    <col min="15074" max="15311" width="9" style="1"/>
    <col min="15312" max="15312" width="6.6640625" style="1" customWidth="1"/>
    <col min="15313" max="15313" width="6.33203125" style="1" customWidth="1"/>
    <col min="15314" max="15317" width="8" style="1" customWidth="1"/>
    <col min="15318" max="15318" width="7.5" style="1" customWidth="1"/>
    <col min="15319" max="15320" width="8" style="1" customWidth="1"/>
    <col min="15321" max="15322" width="7.6640625" style="1" customWidth="1"/>
    <col min="15323" max="15323" width="9.6640625" style="1" customWidth="1"/>
    <col min="15324" max="15324" width="8.5" style="1" customWidth="1"/>
    <col min="15325" max="15325" width="7.6640625" style="1" customWidth="1"/>
    <col min="15326" max="15326" width="6.33203125" style="1" customWidth="1"/>
    <col min="15327" max="15327" width="8" style="1" customWidth="1"/>
    <col min="15328" max="15328" width="9.6640625" style="1" customWidth="1"/>
    <col min="15329" max="15329" width="8.5" style="1" customWidth="1"/>
    <col min="15330" max="15567" width="9" style="1"/>
    <col min="15568" max="15568" width="6.6640625" style="1" customWidth="1"/>
    <col min="15569" max="15569" width="6.33203125" style="1" customWidth="1"/>
    <col min="15570" max="15573" width="8" style="1" customWidth="1"/>
    <col min="15574" max="15574" width="7.5" style="1" customWidth="1"/>
    <col min="15575" max="15576" width="8" style="1" customWidth="1"/>
    <col min="15577" max="15578" width="7.6640625" style="1" customWidth="1"/>
    <col min="15579" max="15579" width="9.6640625" style="1" customWidth="1"/>
    <col min="15580" max="15580" width="8.5" style="1" customWidth="1"/>
    <col min="15581" max="15581" width="7.6640625" style="1" customWidth="1"/>
    <col min="15582" max="15582" width="6.33203125" style="1" customWidth="1"/>
    <col min="15583" max="15583" width="8" style="1" customWidth="1"/>
    <col min="15584" max="15584" width="9.6640625" style="1" customWidth="1"/>
    <col min="15585" max="15585" width="8.5" style="1" customWidth="1"/>
    <col min="15586" max="15823" width="9" style="1"/>
    <col min="15824" max="15824" width="6.6640625" style="1" customWidth="1"/>
    <col min="15825" max="15825" width="6.33203125" style="1" customWidth="1"/>
    <col min="15826" max="15829" width="8" style="1" customWidth="1"/>
    <col min="15830" max="15830" width="7.5" style="1" customWidth="1"/>
    <col min="15831" max="15832" width="8" style="1" customWidth="1"/>
    <col min="15833" max="15834" width="7.6640625" style="1" customWidth="1"/>
    <col min="15835" max="15835" width="9.6640625" style="1" customWidth="1"/>
    <col min="15836" max="15836" width="8.5" style="1" customWidth="1"/>
    <col min="15837" max="15837" width="7.6640625" style="1" customWidth="1"/>
    <col min="15838" max="15838" width="6.33203125" style="1" customWidth="1"/>
    <col min="15839" max="15839" width="8" style="1" customWidth="1"/>
    <col min="15840" max="15840" width="9.6640625" style="1" customWidth="1"/>
    <col min="15841" max="15841" width="8.5" style="1" customWidth="1"/>
    <col min="15842" max="16079" width="9" style="1"/>
    <col min="16080" max="16080" width="6.6640625" style="1" customWidth="1"/>
    <col min="16081" max="16081" width="6.33203125" style="1" customWidth="1"/>
    <col min="16082" max="16085" width="8" style="1" customWidth="1"/>
    <col min="16086" max="16086" width="7.5" style="1" customWidth="1"/>
    <col min="16087" max="16088" width="8" style="1" customWidth="1"/>
    <col min="16089" max="16090" width="7.6640625" style="1" customWidth="1"/>
    <col min="16091" max="16091" width="9.6640625" style="1" customWidth="1"/>
    <col min="16092" max="16092" width="8.5" style="1" customWidth="1"/>
    <col min="16093" max="16093" width="7.6640625" style="1" customWidth="1"/>
    <col min="16094" max="16094" width="6.33203125" style="1" customWidth="1"/>
    <col min="16095" max="16095" width="8" style="1" customWidth="1"/>
    <col min="16096" max="16096" width="9.6640625" style="1" customWidth="1"/>
    <col min="16097" max="16097" width="8.5" style="1" customWidth="1"/>
    <col min="16098" max="16384" width="9" style="1"/>
  </cols>
  <sheetData>
    <row r="1" spans="1:14" ht="33" customHeight="1">
      <c r="A1" s="14" t="s">
        <v>34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customHeight="1">
      <c r="A2" s="2"/>
      <c r="B2" s="2"/>
      <c r="C2" s="2"/>
      <c r="D2" s="2"/>
      <c r="E2" s="2"/>
      <c r="F2" s="2"/>
      <c r="G2" s="2"/>
      <c r="H2" s="2"/>
      <c r="I2" s="2"/>
      <c r="J2" s="2"/>
      <c r="N2" s="3" t="s">
        <v>0</v>
      </c>
    </row>
    <row r="3" spans="1:14" s="7" customFormat="1" ht="32">
      <c r="A3" s="15" t="s">
        <v>1</v>
      </c>
      <c r="B3" s="15" t="s">
        <v>2</v>
      </c>
      <c r="C3" s="16" t="s">
        <v>3</v>
      </c>
      <c r="D3" s="15" t="s">
        <v>4</v>
      </c>
      <c r="E3" s="15" t="s">
        <v>5</v>
      </c>
      <c r="F3" s="15" t="s">
        <v>20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21</v>
      </c>
      <c r="M3" s="15" t="s">
        <v>22</v>
      </c>
      <c r="N3" s="17" t="s">
        <v>15</v>
      </c>
    </row>
    <row r="4" spans="1:14" ht="20.25" customHeight="1">
      <c r="A4" s="9" t="s">
        <v>16</v>
      </c>
      <c r="B4" s="8">
        <v>28333</v>
      </c>
      <c r="C4" s="8">
        <v>0</v>
      </c>
      <c r="D4" s="8">
        <v>3400</v>
      </c>
      <c r="E4" s="8">
        <v>600</v>
      </c>
      <c r="F4" s="8"/>
      <c r="G4" s="8">
        <v>-125.33</v>
      </c>
      <c r="H4" s="8">
        <v>-21</v>
      </c>
      <c r="I4" s="8">
        <v>-501.3</v>
      </c>
      <c r="J4" s="8">
        <v>-2005.2</v>
      </c>
      <c r="K4" s="8">
        <v>-3303</v>
      </c>
      <c r="L4" s="8">
        <v>0</v>
      </c>
      <c r="M4" s="8">
        <v>-4175.4399999999996</v>
      </c>
      <c r="N4" s="10">
        <v>22201.73</v>
      </c>
    </row>
    <row r="5" spans="1:14" ht="18" customHeight="1">
      <c r="A5" s="9" t="s">
        <v>16</v>
      </c>
      <c r="B5" s="8">
        <v>27083</v>
      </c>
      <c r="C5" s="8">
        <v>0</v>
      </c>
      <c r="D5" s="8">
        <v>3200</v>
      </c>
      <c r="E5" s="8">
        <v>500</v>
      </c>
      <c r="F5" s="8"/>
      <c r="G5" s="8">
        <v>-125.33</v>
      </c>
      <c r="H5" s="8">
        <v>-21</v>
      </c>
      <c r="I5" s="8">
        <v>-501.3</v>
      </c>
      <c r="J5" s="8">
        <v>-2005.2</v>
      </c>
      <c r="K5" s="8">
        <v>-3294</v>
      </c>
      <c r="L5" s="8">
        <v>0</v>
      </c>
      <c r="M5" s="8">
        <v>-3867.24</v>
      </c>
      <c r="N5" s="10">
        <v>20968.93</v>
      </c>
    </row>
    <row r="6" spans="1:14" ht="18" customHeight="1">
      <c r="A6" s="9" t="s">
        <v>17</v>
      </c>
      <c r="B6" s="8">
        <v>10821.5</v>
      </c>
      <c r="C6" s="8">
        <v>8657.2000000000007</v>
      </c>
      <c r="D6" s="8">
        <v>0</v>
      </c>
      <c r="E6" s="8">
        <v>0</v>
      </c>
      <c r="F6" s="8"/>
      <c r="G6" s="8">
        <v>-108.3</v>
      </c>
      <c r="H6" s="8">
        <v>-21</v>
      </c>
      <c r="I6" s="8">
        <v>-433.2</v>
      </c>
      <c r="J6" s="8">
        <v>-1732.8</v>
      </c>
      <c r="K6" s="8">
        <v>-2599</v>
      </c>
      <c r="L6" s="8">
        <v>0</v>
      </c>
      <c r="M6" s="8">
        <v>-282.52</v>
      </c>
      <c r="N6" s="10">
        <v>14301.880000000001</v>
      </c>
    </row>
    <row r="7" spans="1:14" ht="18" customHeight="1">
      <c r="A7" s="9" t="s">
        <v>17</v>
      </c>
      <c r="B7" s="8">
        <v>11246</v>
      </c>
      <c r="C7" s="8">
        <v>8996.8000000000011</v>
      </c>
      <c r="D7" s="8">
        <v>0</v>
      </c>
      <c r="E7" s="8">
        <v>0</v>
      </c>
      <c r="F7" s="8"/>
      <c r="G7" s="8">
        <v>-112.55</v>
      </c>
      <c r="H7" s="8">
        <v>-21</v>
      </c>
      <c r="I7" s="8">
        <v>-450.18</v>
      </c>
      <c r="J7" s="8">
        <v>-1800.72</v>
      </c>
      <c r="K7" s="8">
        <v>-2701</v>
      </c>
      <c r="L7" s="8">
        <v>0</v>
      </c>
      <c r="M7" s="8">
        <v>-214.72</v>
      </c>
      <c r="N7" s="10">
        <v>14942.630000000003</v>
      </c>
    </row>
    <row r="8" spans="1:14" ht="18" customHeight="1">
      <c r="A8" s="9" t="s">
        <v>18</v>
      </c>
      <c r="B8" s="8">
        <v>6250</v>
      </c>
      <c r="C8" s="8">
        <v>5500.0000000000009</v>
      </c>
      <c r="D8" s="8">
        <v>0</v>
      </c>
      <c r="E8" s="8">
        <v>0</v>
      </c>
      <c r="F8" s="8"/>
      <c r="G8" s="8">
        <v>-93.84</v>
      </c>
      <c r="H8" s="8">
        <v>-21</v>
      </c>
      <c r="I8" s="8">
        <v>-375.34</v>
      </c>
      <c r="J8" s="8">
        <v>-1501.36</v>
      </c>
      <c r="K8" s="8">
        <v>-2888</v>
      </c>
      <c r="L8" s="8">
        <v>0</v>
      </c>
      <c r="M8" s="8">
        <v>0</v>
      </c>
      <c r="N8" s="10">
        <v>6870.4599999999991</v>
      </c>
    </row>
    <row r="9" spans="1:14" ht="18" customHeight="1">
      <c r="A9" s="9" t="s">
        <v>17</v>
      </c>
      <c r="B9" s="8">
        <v>12500</v>
      </c>
      <c r="C9" s="8">
        <v>10000</v>
      </c>
      <c r="D9" s="8">
        <v>0</v>
      </c>
      <c r="E9" s="8">
        <v>0</v>
      </c>
      <c r="F9" s="8"/>
      <c r="G9" s="8">
        <v>-125.33</v>
      </c>
      <c r="H9" s="8">
        <v>-21</v>
      </c>
      <c r="I9" s="8">
        <v>-501.3</v>
      </c>
      <c r="J9" s="8">
        <v>-2005.2</v>
      </c>
      <c r="K9" s="8">
        <v>-3000</v>
      </c>
      <c r="L9" s="8">
        <v>0</v>
      </c>
      <c r="M9" s="8">
        <v>-607.48</v>
      </c>
      <c r="N9" s="10">
        <v>16239.689999999999</v>
      </c>
    </row>
    <row r="10" spans="1:14" ht="18" customHeight="1">
      <c r="A10" s="9" t="s">
        <v>17</v>
      </c>
      <c r="B10" s="8">
        <v>9494</v>
      </c>
      <c r="C10" s="8">
        <v>7595.2000000000007</v>
      </c>
      <c r="D10" s="8">
        <v>0</v>
      </c>
      <c r="E10" s="8">
        <v>0</v>
      </c>
      <c r="F10" s="8"/>
      <c r="G10" s="8">
        <v>-95.03</v>
      </c>
      <c r="H10" s="8">
        <v>-21</v>
      </c>
      <c r="I10" s="8">
        <v>-380.1</v>
      </c>
      <c r="J10" s="8">
        <v>-1520.4</v>
      </c>
      <c r="K10" s="8">
        <v>-2279</v>
      </c>
      <c r="L10" s="8">
        <v>0</v>
      </c>
      <c r="M10" s="8">
        <v>-38.81</v>
      </c>
      <c r="N10" s="10">
        <v>12754.860000000004</v>
      </c>
    </row>
    <row r="11" spans="1:14" ht="18" customHeight="1">
      <c r="A11" s="9" t="s">
        <v>17</v>
      </c>
      <c r="B11" s="8">
        <v>11870.5</v>
      </c>
      <c r="C11" s="8">
        <v>9496.4</v>
      </c>
      <c r="D11" s="8">
        <v>0</v>
      </c>
      <c r="E11" s="8">
        <v>0</v>
      </c>
      <c r="F11" s="8"/>
      <c r="G11" s="8">
        <v>-118.79</v>
      </c>
      <c r="H11" s="8">
        <v>-21</v>
      </c>
      <c r="I11" s="8">
        <v>-475.16</v>
      </c>
      <c r="J11" s="8">
        <v>-1900.64</v>
      </c>
      <c r="K11" s="8">
        <v>-2851</v>
      </c>
      <c r="L11" s="8">
        <v>0</v>
      </c>
      <c r="M11" s="8">
        <v>-1100.03</v>
      </c>
      <c r="N11" s="10">
        <v>14900.28</v>
      </c>
    </row>
    <row r="12" spans="1:14" ht="18" customHeight="1">
      <c r="A12" s="9" t="s">
        <v>17</v>
      </c>
      <c r="B12" s="8">
        <v>11500</v>
      </c>
      <c r="C12" s="8">
        <v>9200</v>
      </c>
      <c r="D12" s="8">
        <v>0</v>
      </c>
      <c r="E12" s="8">
        <v>0</v>
      </c>
      <c r="F12" s="8"/>
      <c r="G12" s="8">
        <v>-115.97</v>
      </c>
      <c r="H12" s="8">
        <v>-21</v>
      </c>
      <c r="I12" s="8">
        <v>-463.86</v>
      </c>
      <c r="J12" s="8">
        <v>-1855.44</v>
      </c>
      <c r="K12" s="8">
        <v>-2783</v>
      </c>
      <c r="L12" s="8">
        <v>0</v>
      </c>
      <c r="M12" s="8">
        <v>-178.82</v>
      </c>
      <c r="N12" s="10">
        <v>15281.91</v>
      </c>
    </row>
    <row r="13" spans="1:14" ht="18" customHeight="1">
      <c r="A13" s="9" t="s">
        <v>18</v>
      </c>
      <c r="B13" s="8">
        <v>5291.5</v>
      </c>
      <c r="C13" s="8">
        <v>3386.56</v>
      </c>
      <c r="D13" s="8">
        <v>0</v>
      </c>
      <c r="E13" s="8">
        <v>0</v>
      </c>
      <c r="F13" s="8"/>
      <c r="G13" s="8">
        <v>-53</v>
      </c>
      <c r="H13" s="8">
        <v>-21</v>
      </c>
      <c r="I13" s="8">
        <v>-212</v>
      </c>
      <c r="J13" s="8">
        <v>-848</v>
      </c>
      <c r="K13" s="8">
        <v>-1272</v>
      </c>
      <c r="L13" s="8">
        <v>0</v>
      </c>
      <c r="M13" s="8">
        <v>-50.16</v>
      </c>
      <c r="N13" s="10">
        <v>6221.9</v>
      </c>
    </row>
    <row r="14" spans="1:14" ht="18" customHeight="1">
      <c r="A14" s="9" t="s">
        <v>17</v>
      </c>
      <c r="B14" s="8">
        <v>10600</v>
      </c>
      <c r="C14" s="8">
        <v>8480</v>
      </c>
      <c r="D14" s="8">
        <v>0</v>
      </c>
      <c r="E14" s="8">
        <v>0</v>
      </c>
      <c r="F14" s="8"/>
      <c r="G14" s="8">
        <v>-125.33</v>
      </c>
      <c r="H14" s="8">
        <v>-21</v>
      </c>
      <c r="I14" s="8">
        <v>-501.3</v>
      </c>
      <c r="J14" s="8">
        <v>-2005.2</v>
      </c>
      <c r="K14" s="8">
        <v>-2539</v>
      </c>
      <c r="L14" s="8">
        <v>0</v>
      </c>
      <c r="M14" s="8">
        <v>-788.82</v>
      </c>
      <c r="N14" s="10">
        <v>13099.349999999999</v>
      </c>
    </row>
    <row r="15" spans="1:14" ht="18" customHeight="1">
      <c r="A15" s="9" t="s">
        <v>19</v>
      </c>
      <c r="B15" s="8">
        <v>4250</v>
      </c>
      <c r="C15" s="8">
        <v>4080</v>
      </c>
      <c r="D15" s="8">
        <v>0</v>
      </c>
      <c r="E15" s="8">
        <v>0</v>
      </c>
      <c r="F15" s="8"/>
      <c r="G15" s="8">
        <v>-42.5</v>
      </c>
      <c r="H15" s="8">
        <v>-21</v>
      </c>
      <c r="I15" s="8">
        <v>-170</v>
      </c>
      <c r="J15" s="8">
        <v>-680</v>
      </c>
      <c r="K15" s="8">
        <v>-1020</v>
      </c>
      <c r="L15" s="8">
        <v>0</v>
      </c>
      <c r="M15" s="8">
        <v>-41.89</v>
      </c>
      <c r="N15" s="10">
        <v>6354.61</v>
      </c>
    </row>
    <row r="16" spans="1:14" ht="17.25" customHeight="1">
      <c r="A16" s="9" t="s">
        <v>17</v>
      </c>
      <c r="B16" s="8">
        <v>12500</v>
      </c>
      <c r="C16" s="8">
        <v>10000</v>
      </c>
      <c r="D16" s="8">
        <v>0</v>
      </c>
      <c r="E16" s="8">
        <v>0</v>
      </c>
      <c r="F16" s="8"/>
      <c r="G16" s="8">
        <v>-125</v>
      </c>
      <c r="H16" s="8">
        <v>-21</v>
      </c>
      <c r="I16" s="8">
        <v>-500</v>
      </c>
      <c r="J16" s="8">
        <v>-2000</v>
      </c>
      <c r="K16" s="8">
        <v>-3000</v>
      </c>
      <c r="L16" s="8">
        <v>0</v>
      </c>
      <c r="M16" s="8">
        <v>-355.62</v>
      </c>
      <c r="N16" s="10">
        <v>16498.38</v>
      </c>
    </row>
    <row r="17" spans="1:14">
      <c r="A17" s="13" t="s">
        <v>23</v>
      </c>
      <c r="B17" s="11">
        <v>161739.5</v>
      </c>
      <c r="C17" s="11">
        <v>85392.16</v>
      </c>
      <c r="D17" s="11">
        <v>6600</v>
      </c>
      <c r="E17" s="11">
        <v>1100</v>
      </c>
      <c r="F17" s="11">
        <v>0</v>
      </c>
      <c r="G17" s="11">
        <v>-1366.3</v>
      </c>
      <c r="H17" s="11">
        <v>-273</v>
      </c>
      <c r="I17" s="11">
        <v>-5465.04</v>
      </c>
      <c r="J17" s="11">
        <v>-21860.16</v>
      </c>
      <c r="K17" s="11">
        <v>-33529</v>
      </c>
      <c r="L17" s="11">
        <v>0</v>
      </c>
      <c r="M17" s="11">
        <v>-11701.549999999997</v>
      </c>
      <c r="N17" s="11">
        <v>180636.61</v>
      </c>
    </row>
    <row r="19" spans="1:14" ht="16">
      <c r="F19" s="20"/>
      <c r="G19" s="20"/>
      <c r="M19" s="12"/>
      <c r="N19" s="1"/>
    </row>
    <row r="20" spans="1:14">
      <c r="M20" s="12"/>
      <c r="N20" s="1"/>
    </row>
    <row r="21" spans="1:14">
      <c r="M21" s="12"/>
      <c r="N21" s="1"/>
    </row>
    <row r="22" spans="1:14">
      <c r="M22" s="12"/>
      <c r="N22" s="1"/>
    </row>
  </sheetData>
  <mergeCells count="1">
    <mergeCell ref="F19:G19"/>
  </mergeCells>
  <phoneticPr fontId="4" type="noConversion"/>
  <pageMargins left="0.31496062992126" right="0.196850393700787" top="0.74803149606299202" bottom="0.74803149606299202" header="0.31496062992126" footer="0.31496062992126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2B271-3261-4C4E-9F82-4D0493D14FEA}">
  <sheetPr>
    <tabColor rgb="FFFFC000"/>
  </sheetPr>
  <dimension ref="A1:N22"/>
  <sheetViews>
    <sheetView workbookViewId="0"/>
  </sheetViews>
  <sheetFormatPr baseColWidth="10" defaultColWidth="9" defaultRowHeight="15"/>
  <cols>
    <col min="1" max="1" width="21.33203125" style="1" bestFit="1" customWidth="1"/>
    <col min="2" max="2" width="10.5" style="1" bestFit="1" customWidth="1"/>
    <col min="3" max="3" width="8.6640625" style="1" customWidth="1"/>
    <col min="4" max="4" width="8.83203125" style="1" customWidth="1"/>
    <col min="5" max="5" width="9.83203125" style="1" customWidth="1"/>
    <col min="6" max="6" width="9.83203125" style="1" hidden="1" customWidth="1"/>
    <col min="7" max="7" width="9.5" style="1" customWidth="1"/>
    <col min="8" max="8" width="8.5" style="1" bestFit="1" customWidth="1"/>
    <col min="9" max="9" width="9.1640625" style="1" customWidth="1"/>
    <col min="10" max="10" width="11.6640625" style="1" customWidth="1"/>
    <col min="11" max="11" width="10.5" style="1" bestFit="1" customWidth="1"/>
    <col min="12" max="12" width="9" style="1" hidden="1" customWidth="1"/>
    <col min="13" max="13" width="10.5" style="1" bestFit="1" customWidth="1"/>
    <col min="14" max="14" width="16.1640625" style="12" customWidth="1"/>
    <col min="15" max="15" width="9" style="1" customWidth="1"/>
    <col min="16" max="207" width="9" style="1"/>
    <col min="208" max="208" width="6.6640625" style="1" customWidth="1"/>
    <col min="209" max="209" width="6.33203125" style="1" customWidth="1"/>
    <col min="210" max="213" width="8" style="1" customWidth="1"/>
    <col min="214" max="214" width="7.5" style="1" customWidth="1"/>
    <col min="215" max="216" width="8" style="1" customWidth="1"/>
    <col min="217" max="218" width="7.6640625" style="1" customWidth="1"/>
    <col min="219" max="219" width="9.6640625" style="1" customWidth="1"/>
    <col min="220" max="220" width="8.5" style="1" customWidth="1"/>
    <col min="221" max="221" width="7.6640625" style="1" customWidth="1"/>
    <col min="222" max="222" width="6.33203125" style="1" customWidth="1"/>
    <col min="223" max="223" width="8" style="1" customWidth="1"/>
    <col min="224" max="224" width="9.6640625" style="1" customWidth="1"/>
    <col min="225" max="225" width="8.5" style="1" customWidth="1"/>
    <col min="226" max="463" width="9" style="1"/>
    <col min="464" max="464" width="6.6640625" style="1" customWidth="1"/>
    <col min="465" max="465" width="6.33203125" style="1" customWidth="1"/>
    <col min="466" max="469" width="8" style="1" customWidth="1"/>
    <col min="470" max="470" width="7.5" style="1" customWidth="1"/>
    <col min="471" max="472" width="8" style="1" customWidth="1"/>
    <col min="473" max="474" width="7.6640625" style="1" customWidth="1"/>
    <col min="475" max="475" width="9.6640625" style="1" customWidth="1"/>
    <col min="476" max="476" width="8.5" style="1" customWidth="1"/>
    <col min="477" max="477" width="7.6640625" style="1" customWidth="1"/>
    <col min="478" max="478" width="6.33203125" style="1" customWidth="1"/>
    <col min="479" max="479" width="8" style="1" customWidth="1"/>
    <col min="480" max="480" width="9.6640625" style="1" customWidth="1"/>
    <col min="481" max="481" width="8.5" style="1" customWidth="1"/>
    <col min="482" max="719" width="9" style="1"/>
    <col min="720" max="720" width="6.6640625" style="1" customWidth="1"/>
    <col min="721" max="721" width="6.33203125" style="1" customWidth="1"/>
    <col min="722" max="725" width="8" style="1" customWidth="1"/>
    <col min="726" max="726" width="7.5" style="1" customWidth="1"/>
    <col min="727" max="728" width="8" style="1" customWidth="1"/>
    <col min="729" max="730" width="7.6640625" style="1" customWidth="1"/>
    <col min="731" max="731" width="9.6640625" style="1" customWidth="1"/>
    <col min="732" max="732" width="8.5" style="1" customWidth="1"/>
    <col min="733" max="733" width="7.6640625" style="1" customWidth="1"/>
    <col min="734" max="734" width="6.33203125" style="1" customWidth="1"/>
    <col min="735" max="735" width="8" style="1" customWidth="1"/>
    <col min="736" max="736" width="9.6640625" style="1" customWidth="1"/>
    <col min="737" max="737" width="8.5" style="1" customWidth="1"/>
    <col min="738" max="975" width="9" style="1"/>
    <col min="976" max="976" width="6.6640625" style="1" customWidth="1"/>
    <col min="977" max="977" width="6.33203125" style="1" customWidth="1"/>
    <col min="978" max="981" width="8" style="1" customWidth="1"/>
    <col min="982" max="982" width="7.5" style="1" customWidth="1"/>
    <col min="983" max="984" width="8" style="1" customWidth="1"/>
    <col min="985" max="986" width="7.6640625" style="1" customWidth="1"/>
    <col min="987" max="987" width="9.6640625" style="1" customWidth="1"/>
    <col min="988" max="988" width="8.5" style="1" customWidth="1"/>
    <col min="989" max="989" width="7.6640625" style="1" customWidth="1"/>
    <col min="990" max="990" width="6.33203125" style="1" customWidth="1"/>
    <col min="991" max="991" width="8" style="1" customWidth="1"/>
    <col min="992" max="992" width="9.6640625" style="1" customWidth="1"/>
    <col min="993" max="993" width="8.5" style="1" customWidth="1"/>
    <col min="994" max="1231" width="9" style="1"/>
    <col min="1232" max="1232" width="6.6640625" style="1" customWidth="1"/>
    <col min="1233" max="1233" width="6.33203125" style="1" customWidth="1"/>
    <col min="1234" max="1237" width="8" style="1" customWidth="1"/>
    <col min="1238" max="1238" width="7.5" style="1" customWidth="1"/>
    <col min="1239" max="1240" width="8" style="1" customWidth="1"/>
    <col min="1241" max="1242" width="7.6640625" style="1" customWidth="1"/>
    <col min="1243" max="1243" width="9.6640625" style="1" customWidth="1"/>
    <col min="1244" max="1244" width="8.5" style="1" customWidth="1"/>
    <col min="1245" max="1245" width="7.6640625" style="1" customWidth="1"/>
    <col min="1246" max="1246" width="6.33203125" style="1" customWidth="1"/>
    <col min="1247" max="1247" width="8" style="1" customWidth="1"/>
    <col min="1248" max="1248" width="9.6640625" style="1" customWidth="1"/>
    <col min="1249" max="1249" width="8.5" style="1" customWidth="1"/>
    <col min="1250" max="1487" width="9" style="1"/>
    <col min="1488" max="1488" width="6.6640625" style="1" customWidth="1"/>
    <col min="1489" max="1489" width="6.33203125" style="1" customWidth="1"/>
    <col min="1490" max="1493" width="8" style="1" customWidth="1"/>
    <col min="1494" max="1494" width="7.5" style="1" customWidth="1"/>
    <col min="1495" max="1496" width="8" style="1" customWidth="1"/>
    <col min="1497" max="1498" width="7.6640625" style="1" customWidth="1"/>
    <col min="1499" max="1499" width="9.6640625" style="1" customWidth="1"/>
    <col min="1500" max="1500" width="8.5" style="1" customWidth="1"/>
    <col min="1501" max="1501" width="7.6640625" style="1" customWidth="1"/>
    <col min="1502" max="1502" width="6.33203125" style="1" customWidth="1"/>
    <col min="1503" max="1503" width="8" style="1" customWidth="1"/>
    <col min="1504" max="1504" width="9.6640625" style="1" customWidth="1"/>
    <col min="1505" max="1505" width="8.5" style="1" customWidth="1"/>
    <col min="1506" max="1743" width="9" style="1"/>
    <col min="1744" max="1744" width="6.6640625" style="1" customWidth="1"/>
    <col min="1745" max="1745" width="6.33203125" style="1" customWidth="1"/>
    <col min="1746" max="1749" width="8" style="1" customWidth="1"/>
    <col min="1750" max="1750" width="7.5" style="1" customWidth="1"/>
    <col min="1751" max="1752" width="8" style="1" customWidth="1"/>
    <col min="1753" max="1754" width="7.6640625" style="1" customWidth="1"/>
    <col min="1755" max="1755" width="9.6640625" style="1" customWidth="1"/>
    <col min="1756" max="1756" width="8.5" style="1" customWidth="1"/>
    <col min="1757" max="1757" width="7.6640625" style="1" customWidth="1"/>
    <col min="1758" max="1758" width="6.33203125" style="1" customWidth="1"/>
    <col min="1759" max="1759" width="8" style="1" customWidth="1"/>
    <col min="1760" max="1760" width="9.6640625" style="1" customWidth="1"/>
    <col min="1761" max="1761" width="8.5" style="1" customWidth="1"/>
    <col min="1762" max="1999" width="9" style="1"/>
    <col min="2000" max="2000" width="6.6640625" style="1" customWidth="1"/>
    <col min="2001" max="2001" width="6.33203125" style="1" customWidth="1"/>
    <col min="2002" max="2005" width="8" style="1" customWidth="1"/>
    <col min="2006" max="2006" width="7.5" style="1" customWidth="1"/>
    <col min="2007" max="2008" width="8" style="1" customWidth="1"/>
    <col min="2009" max="2010" width="7.6640625" style="1" customWidth="1"/>
    <col min="2011" max="2011" width="9.6640625" style="1" customWidth="1"/>
    <col min="2012" max="2012" width="8.5" style="1" customWidth="1"/>
    <col min="2013" max="2013" width="7.6640625" style="1" customWidth="1"/>
    <col min="2014" max="2014" width="6.33203125" style="1" customWidth="1"/>
    <col min="2015" max="2015" width="8" style="1" customWidth="1"/>
    <col min="2016" max="2016" width="9.6640625" style="1" customWidth="1"/>
    <col min="2017" max="2017" width="8.5" style="1" customWidth="1"/>
    <col min="2018" max="2255" width="9" style="1"/>
    <col min="2256" max="2256" width="6.6640625" style="1" customWidth="1"/>
    <col min="2257" max="2257" width="6.33203125" style="1" customWidth="1"/>
    <col min="2258" max="2261" width="8" style="1" customWidth="1"/>
    <col min="2262" max="2262" width="7.5" style="1" customWidth="1"/>
    <col min="2263" max="2264" width="8" style="1" customWidth="1"/>
    <col min="2265" max="2266" width="7.6640625" style="1" customWidth="1"/>
    <col min="2267" max="2267" width="9.6640625" style="1" customWidth="1"/>
    <col min="2268" max="2268" width="8.5" style="1" customWidth="1"/>
    <col min="2269" max="2269" width="7.6640625" style="1" customWidth="1"/>
    <col min="2270" max="2270" width="6.33203125" style="1" customWidth="1"/>
    <col min="2271" max="2271" width="8" style="1" customWidth="1"/>
    <col min="2272" max="2272" width="9.6640625" style="1" customWidth="1"/>
    <col min="2273" max="2273" width="8.5" style="1" customWidth="1"/>
    <col min="2274" max="2511" width="9" style="1"/>
    <col min="2512" max="2512" width="6.6640625" style="1" customWidth="1"/>
    <col min="2513" max="2513" width="6.33203125" style="1" customWidth="1"/>
    <col min="2514" max="2517" width="8" style="1" customWidth="1"/>
    <col min="2518" max="2518" width="7.5" style="1" customWidth="1"/>
    <col min="2519" max="2520" width="8" style="1" customWidth="1"/>
    <col min="2521" max="2522" width="7.6640625" style="1" customWidth="1"/>
    <col min="2523" max="2523" width="9.6640625" style="1" customWidth="1"/>
    <col min="2524" max="2524" width="8.5" style="1" customWidth="1"/>
    <col min="2525" max="2525" width="7.6640625" style="1" customWidth="1"/>
    <col min="2526" max="2526" width="6.33203125" style="1" customWidth="1"/>
    <col min="2527" max="2527" width="8" style="1" customWidth="1"/>
    <col min="2528" max="2528" width="9.6640625" style="1" customWidth="1"/>
    <col min="2529" max="2529" width="8.5" style="1" customWidth="1"/>
    <col min="2530" max="2767" width="9" style="1"/>
    <col min="2768" max="2768" width="6.6640625" style="1" customWidth="1"/>
    <col min="2769" max="2769" width="6.33203125" style="1" customWidth="1"/>
    <col min="2770" max="2773" width="8" style="1" customWidth="1"/>
    <col min="2774" max="2774" width="7.5" style="1" customWidth="1"/>
    <col min="2775" max="2776" width="8" style="1" customWidth="1"/>
    <col min="2777" max="2778" width="7.6640625" style="1" customWidth="1"/>
    <col min="2779" max="2779" width="9.6640625" style="1" customWidth="1"/>
    <col min="2780" max="2780" width="8.5" style="1" customWidth="1"/>
    <col min="2781" max="2781" width="7.6640625" style="1" customWidth="1"/>
    <col min="2782" max="2782" width="6.33203125" style="1" customWidth="1"/>
    <col min="2783" max="2783" width="8" style="1" customWidth="1"/>
    <col min="2784" max="2784" width="9.6640625" style="1" customWidth="1"/>
    <col min="2785" max="2785" width="8.5" style="1" customWidth="1"/>
    <col min="2786" max="3023" width="9" style="1"/>
    <col min="3024" max="3024" width="6.6640625" style="1" customWidth="1"/>
    <col min="3025" max="3025" width="6.33203125" style="1" customWidth="1"/>
    <col min="3026" max="3029" width="8" style="1" customWidth="1"/>
    <col min="3030" max="3030" width="7.5" style="1" customWidth="1"/>
    <col min="3031" max="3032" width="8" style="1" customWidth="1"/>
    <col min="3033" max="3034" width="7.6640625" style="1" customWidth="1"/>
    <col min="3035" max="3035" width="9.6640625" style="1" customWidth="1"/>
    <col min="3036" max="3036" width="8.5" style="1" customWidth="1"/>
    <col min="3037" max="3037" width="7.6640625" style="1" customWidth="1"/>
    <col min="3038" max="3038" width="6.33203125" style="1" customWidth="1"/>
    <col min="3039" max="3039" width="8" style="1" customWidth="1"/>
    <col min="3040" max="3040" width="9.6640625" style="1" customWidth="1"/>
    <col min="3041" max="3041" width="8.5" style="1" customWidth="1"/>
    <col min="3042" max="3279" width="9" style="1"/>
    <col min="3280" max="3280" width="6.6640625" style="1" customWidth="1"/>
    <col min="3281" max="3281" width="6.33203125" style="1" customWidth="1"/>
    <col min="3282" max="3285" width="8" style="1" customWidth="1"/>
    <col min="3286" max="3286" width="7.5" style="1" customWidth="1"/>
    <col min="3287" max="3288" width="8" style="1" customWidth="1"/>
    <col min="3289" max="3290" width="7.6640625" style="1" customWidth="1"/>
    <col min="3291" max="3291" width="9.6640625" style="1" customWidth="1"/>
    <col min="3292" max="3292" width="8.5" style="1" customWidth="1"/>
    <col min="3293" max="3293" width="7.6640625" style="1" customWidth="1"/>
    <col min="3294" max="3294" width="6.33203125" style="1" customWidth="1"/>
    <col min="3295" max="3295" width="8" style="1" customWidth="1"/>
    <col min="3296" max="3296" width="9.6640625" style="1" customWidth="1"/>
    <col min="3297" max="3297" width="8.5" style="1" customWidth="1"/>
    <col min="3298" max="3535" width="9" style="1"/>
    <col min="3536" max="3536" width="6.6640625" style="1" customWidth="1"/>
    <col min="3537" max="3537" width="6.33203125" style="1" customWidth="1"/>
    <col min="3538" max="3541" width="8" style="1" customWidth="1"/>
    <col min="3542" max="3542" width="7.5" style="1" customWidth="1"/>
    <col min="3543" max="3544" width="8" style="1" customWidth="1"/>
    <col min="3545" max="3546" width="7.6640625" style="1" customWidth="1"/>
    <col min="3547" max="3547" width="9.6640625" style="1" customWidth="1"/>
    <col min="3548" max="3548" width="8.5" style="1" customWidth="1"/>
    <col min="3549" max="3549" width="7.6640625" style="1" customWidth="1"/>
    <col min="3550" max="3550" width="6.33203125" style="1" customWidth="1"/>
    <col min="3551" max="3551" width="8" style="1" customWidth="1"/>
    <col min="3552" max="3552" width="9.6640625" style="1" customWidth="1"/>
    <col min="3553" max="3553" width="8.5" style="1" customWidth="1"/>
    <col min="3554" max="3791" width="9" style="1"/>
    <col min="3792" max="3792" width="6.6640625" style="1" customWidth="1"/>
    <col min="3793" max="3793" width="6.33203125" style="1" customWidth="1"/>
    <col min="3794" max="3797" width="8" style="1" customWidth="1"/>
    <col min="3798" max="3798" width="7.5" style="1" customWidth="1"/>
    <col min="3799" max="3800" width="8" style="1" customWidth="1"/>
    <col min="3801" max="3802" width="7.6640625" style="1" customWidth="1"/>
    <col min="3803" max="3803" width="9.6640625" style="1" customWidth="1"/>
    <col min="3804" max="3804" width="8.5" style="1" customWidth="1"/>
    <col min="3805" max="3805" width="7.6640625" style="1" customWidth="1"/>
    <col min="3806" max="3806" width="6.33203125" style="1" customWidth="1"/>
    <col min="3807" max="3807" width="8" style="1" customWidth="1"/>
    <col min="3808" max="3808" width="9.6640625" style="1" customWidth="1"/>
    <col min="3809" max="3809" width="8.5" style="1" customWidth="1"/>
    <col min="3810" max="4047" width="9" style="1"/>
    <col min="4048" max="4048" width="6.6640625" style="1" customWidth="1"/>
    <col min="4049" max="4049" width="6.33203125" style="1" customWidth="1"/>
    <col min="4050" max="4053" width="8" style="1" customWidth="1"/>
    <col min="4054" max="4054" width="7.5" style="1" customWidth="1"/>
    <col min="4055" max="4056" width="8" style="1" customWidth="1"/>
    <col min="4057" max="4058" width="7.6640625" style="1" customWidth="1"/>
    <col min="4059" max="4059" width="9.6640625" style="1" customWidth="1"/>
    <col min="4060" max="4060" width="8.5" style="1" customWidth="1"/>
    <col min="4061" max="4061" width="7.6640625" style="1" customWidth="1"/>
    <col min="4062" max="4062" width="6.33203125" style="1" customWidth="1"/>
    <col min="4063" max="4063" width="8" style="1" customWidth="1"/>
    <col min="4064" max="4064" width="9.6640625" style="1" customWidth="1"/>
    <col min="4065" max="4065" width="8.5" style="1" customWidth="1"/>
    <col min="4066" max="4303" width="9" style="1"/>
    <col min="4304" max="4304" width="6.6640625" style="1" customWidth="1"/>
    <col min="4305" max="4305" width="6.33203125" style="1" customWidth="1"/>
    <col min="4306" max="4309" width="8" style="1" customWidth="1"/>
    <col min="4310" max="4310" width="7.5" style="1" customWidth="1"/>
    <col min="4311" max="4312" width="8" style="1" customWidth="1"/>
    <col min="4313" max="4314" width="7.6640625" style="1" customWidth="1"/>
    <col min="4315" max="4315" width="9.6640625" style="1" customWidth="1"/>
    <col min="4316" max="4316" width="8.5" style="1" customWidth="1"/>
    <col min="4317" max="4317" width="7.6640625" style="1" customWidth="1"/>
    <col min="4318" max="4318" width="6.33203125" style="1" customWidth="1"/>
    <col min="4319" max="4319" width="8" style="1" customWidth="1"/>
    <col min="4320" max="4320" width="9.6640625" style="1" customWidth="1"/>
    <col min="4321" max="4321" width="8.5" style="1" customWidth="1"/>
    <col min="4322" max="4559" width="9" style="1"/>
    <col min="4560" max="4560" width="6.6640625" style="1" customWidth="1"/>
    <col min="4561" max="4561" width="6.33203125" style="1" customWidth="1"/>
    <col min="4562" max="4565" width="8" style="1" customWidth="1"/>
    <col min="4566" max="4566" width="7.5" style="1" customWidth="1"/>
    <col min="4567" max="4568" width="8" style="1" customWidth="1"/>
    <col min="4569" max="4570" width="7.6640625" style="1" customWidth="1"/>
    <col min="4571" max="4571" width="9.6640625" style="1" customWidth="1"/>
    <col min="4572" max="4572" width="8.5" style="1" customWidth="1"/>
    <col min="4573" max="4573" width="7.6640625" style="1" customWidth="1"/>
    <col min="4574" max="4574" width="6.33203125" style="1" customWidth="1"/>
    <col min="4575" max="4575" width="8" style="1" customWidth="1"/>
    <col min="4576" max="4576" width="9.6640625" style="1" customWidth="1"/>
    <col min="4577" max="4577" width="8.5" style="1" customWidth="1"/>
    <col min="4578" max="4815" width="9" style="1"/>
    <col min="4816" max="4816" width="6.6640625" style="1" customWidth="1"/>
    <col min="4817" max="4817" width="6.33203125" style="1" customWidth="1"/>
    <col min="4818" max="4821" width="8" style="1" customWidth="1"/>
    <col min="4822" max="4822" width="7.5" style="1" customWidth="1"/>
    <col min="4823" max="4824" width="8" style="1" customWidth="1"/>
    <col min="4825" max="4826" width="7.6640625" style="1" customWidth="1"/>
    <col min="4827" max="4827" width="9.6640625" style="1" customWidth="1"/>
    <col min="4828" max="4828" width="8.5" style="1" customWidth="1"/>
    <col min="4829" max="4829" width="7.6640625" style="1" customWidth="1"/>
    <col min="4830" max="4830" width="6.33203125" style="1" customWidth="1"/>
    <col min="4831" max="4831" width="8" style="1" customWidth="1"/>
    <col min="4832" max="4832" width="9.6640625" style="1" customWidth="1"/>
    <col min="4833" max="4833" width="8.5" style="1" customWidth="1"/>
    <col min="4834" max="5071" width="9" style="1"/>
    <col min="5072" max="5072" width="6.6640625" style="1" customWidth="1"/>
    <col min="5073" max="5073" width="6.33203125" style="1" customWidth="1"/>
    <col min="5074" max="5077" width="8" style="1" customWidth="1"/>
    <col min="5078" max="5078" width="7.5" style="1" customWidth="1"/>
    <col min="5079" max="5080" width="8" style="1" customWidth="1"/>
    <col min="5081" max="5082" width="7.6640625" style="1" customWidth="1"/>
    <col min="5083" max="5083" width="9.6640625" style="1" customWidth="1"/>
    <col min="5084" max="5084" width="8.5" style="1" customWidth="1"/>
    <col min="5085" max="5085" width="7.6640625" style="1" customWidth="1"/>
    <col min="5086" max="5086" width="6.33203125" style="1" customWidth="1"/>
    <col min="5087" max="5087" width="8" style="1" customWidth="1"/>
    <col min="5088" max="5088" width="9.6640625" style="1" customWidth="1"/>
    <col min="5089" max="5089" width="8.5" style="1" customWidth="1"/>
    <col min="5090" max="5327" width="9" style="1"/>
    <col min="5328" max="5328" width="6.6640625" style="1" customWidth="1"/>
    <col min="5329" max="5329" width="6.33203125" style="1" customWidth="1"/>
    <col min="5330" max="5333" width="8" style="1" customWidth="1"/>
    <col min="5334" max="5334" width="7.5" style="1" customWidth="1"/>
    <col min="5335" max="5336" width="8" style="1" customWidth="1"/>
    <col min="5337" max="5338" width="7.6640625" style="1" customWidth="1"/>
    <col min="5339" max="5339" width="9.6640625" style="1" customWidth="1"/>
    <col min="5340" max="5340" width="8.5" style="1" customWidth="1"/>
    <col min="5341" max="5341" width="7.6640625" style="1" customWidth="1"/>
    <col min="5342" max="5342" width="6.33203125" style="1" customWidth="1"/>
    <col min="5343" max="5343" width="8" style="1" customWidth="1"/>
    <col min="5344" max="5344" width="9.6640625" style="1" customWidth="1"/>
    <col min="5345" max="5345" width="8.5" style="1" customWidth="1"/>
    <col min="5346" max="5583" width="9" style="1"/>
    <col min="5584" max="5584" width="6.6640625" style="1" customWidth="1"/>
    <col min="5585" max="5585" width="6.33203125" style="1" customWidth="1"/>
    <col min="5586" max="5589" width="8" style="1" customWidth="1"/>
    <col min="5590" max="5590" width="7.5" style="1" customWidth="1"/>
    <col min="5591" max="5592" width="8" style="1" customWidth="1"/>
    <col min="5593" max="5594" width="7.6640625" style="1" customWidth="1"/>
    <col min="5595" max="5595" width="9.6640625" style="1" customWidth="1"/>
    <col min="5596" max="5596" width="8.5" style="1" customWidth="1"/>
    <col min="5597" max="5597" width="7.6640625" style="1" customWidth="1"/>
    <col min="5598" max="5598" width="6.33203125" style="1" customWidth="1"/>
    <col min="5599" max="5599" width="8" style="1" customWidth="1"/>
    <col min="5600" max="5600" width="9.6640625" style="1" customWidth="1"/>
    <col min="5601" max="5601" width="8.5" style="1" customWidth="1"/>
    <col min="5602" max="5839" width="9" style="1"/>
    <col min="5840" max="5840" width="6.6640625" style="1" customWidth="1"/>
    <col min="5841" max="5841" width="6.33203125" style="1" customWidth="1"/>
    <col min="5842" max="5845" width="8" style="1" customWidth="1"/>
    <col min="5846" max="5846" width="7.5" style="1" customWidth="1"/>
    <col min="5847" max="5848" width="8" style="1" customWidth="1"/>
    <col min="5849" max="5850" width="7.6640625" style="1" customWidth="1"/>
    <col min="5851" max="5851" width="9.6640625" style="1" customWidth="1"/>
    <col min="5852" max="5852" width="8.5" style="1" customWidth="1"/>
    <col min="5853" max="5853" width="7.6640625" style="1" customWidth="1"/>
    <col min="5854" max="5854" width="6.33203125" style="1" customWidth="1"/>
    <col min="5855" max="5855" width="8" style="1" customWidth="1"/>
    <col min="5856" max="5856" width="9.6640625" style="1" customWidth="1"/>
    <col min="5857" max="5857" width="8.5" style="1" customWidth="1"/>
    <col min="5858" max="6095" width="9" style="1"/>
    <col min="6096" max="6096" width="6.6640625" style="1" customWidth="1"/>
    <col min="6097" max="6097" width="6.33203125" style="1" customWidth="1"/>
    <col min="6098" max="6101" width="8" style="1" customWidth="1"/>
    <col min="6102" max="6102" width="7.5" style="1" customWidth="1"/>
    <col min="6103" max="6104" width="8" style="1" customWidth="1"/>
    <col min="6105" max="6106" width="7.6640625" style="1" customWidth="1"/>
    <col min="6107" max="6107" width="9.6640625" style="1" customWidth="1"/>
    <col min="6108" max="6108" width="8.5" style="1" customWidth="1"/>
    <col min="6109" max="6109" width="7.6640625" style="1" customWidth="1"/>
    <col min="6110" max="6110" width="6.33203125" style="1" customWidth="1"/>
    <col min="6111" max="6111" width="8" style="1" customWidth="1"/>
    <col min="6112" max="6112" width="9.6640625" style="1" customWidth="1"/>
    <col min="6113" max="6113" width="8.5" style="1" customWidth="1"/>
    <col min="6114" max="6351" width="9" style="1"/>
    <col min="6352" max="6352" width="6.6640625" style="1" customWidth="1"/>
    <col min="6353" max="6353" width="6.33203125" style="1" customWidth="1"/>
    <col min="6354" max="6357" width="8" style="1" customWidth="1"/>
    <col min="6358" max="6358" width="7.5" style="1" customWidth="1"/>
    <col min="6359" max="6360" width="8" style="1" customWidth="1"/>
    <col min="6361" max="6362" width="7.6640625" style="1" customWidth="1"/>
    <col min="6363" max="6363" width="9.6640625" style="1" customWidth="1"/>
    <col min="6364" max="6364" width="8.5" style="1" customWidth="1"/>
    <col min="6365" max="6365" width="7.6640625" style="1" customWidth="1"/>
    <col min="6366" max="6366" width="6.33203125" style="1" customWidth="1"/>
    <col min="6367" max="6367" width="8" style="1" customWidth="1"/>
    <col min="6368" max="6368" width="9.6640625" style="1" customWidth="1"/>
    <col min="6369" max="6369" width="8.5" style="1" customWidth="1"/>
    <col min="6370" max="6607" width="9" style="1"/>
    <col min="6608" max="6608" width="6.6640625" style="1" customWidth="1"/>
    <col min="6609" max="6609" width="6.33203125" style="1" customWidth="1"/>
    <col min="6610" max="6613" width="8" style="1" customWidth="1"/>
    <col min="6614" max="6614" width="7.5" style="1" customWidth="1"/>
    <col min="6615" max="6616" width="8" style="1" customWidth="1"/>
    <col min="6617" max="6618" width="7.6640625" style="1" customWidth="1"/>
    <col min="6619" max="6619" width="9.6640625" style="1" customWidth="1"/>
    <col min="6620" max="6620" width="8.5" style="1" customWidth="1"/>
    <col min="6621" max="6621" width="7.6640625" style="1" customWidth="1"/>
    <col min="6622" max="6622" width="6.33203125" style="1" customWidth="1"/>
    <col min="6623" max="6623" width="8" style="1" customWidth="1"/>
    <col min="6624" max="6624" width="9.6640625" style="1" customWidth="1"/>
    <col min="6625" max="6625" width="8.5" style="1" customWidth="1"/>
    <col min="6626" max="6863" width="9" style="1"/>
    <col min="6864" max="6864" width="6.6640625" style="1" customWidth="1"/>
    <col min="6865" max="6865" width="6.33203125" style="1" customWidth="1"/>
    <col min="6866" max="6869" width="8" style="1" customWidth="1"/>
    <col min="6870" max="6870" width="7.5" style="1" customWidth="1"/>
    <col min="6871" max="6872" width="8" style="1" customWidth="1"/>
    <col min="6873" max="6874" width="7.6640625" style="1" customWidth="1"/>
    <col min="6875" max="6875" width="9.6640625" style="1" customWidth="1"/>
    <col min="6876" max="6876" width="8.5" style="1" customWidth="1"/>
    <col min="6877" max="6877" width="7.6640625" style="1" customWidth="1"/>
    <col min="6878" max="6878" width="6.33203125" style="1" customWidth="1"/>
    <col min="6879" max="6879" width="8" style="1" customWidth="1"/>
    <col min="6880" max="6880" width="9.6640625" style="1" customWidth="1"/>
    <col min="6881" max="6881" width="8.5" style="1" customWidth="1"/>
    <col min="6882" max="7119" width="9" style="1"/>
    <col min="7120" max="7120" width="6.6640625" style="1" customWidth="1"/>
    <col min="7121" max="7121" width="6.33203125" style="1" customWidth="1"/>
    <col min="7122" max="7125" width="8" style="1" customWidth="1"/>
    <col min="7126" max="7126" width="7.5" style="1" customWidth="1"/>
    <col min="7127" max="7128" width="8" style="1" customWidth="1"/>
    <col min="7129" max="7130" width="7.6640625" style="1" customWidth="1"/>
    <col min="7131" max="7131" width="9.6640625" style="1" customWidth="1"/>
    <col min="7132" max="7132" width="8.5" style="1" customWidth="1"/>
    <col min="7133" max="7133" width="7.6640625" style="1" customWidth="1"/>
    <col min="7134" max="7134" width="6.33203125" style="1" customWidth="1"/>
    <col min="7135" max="7135" width="8" style="1" customWidth="1"/>
    <col min="7136" max="7136" width="9.6640625" style="1" customWidth="1"/>
    <col min="7137" max="7137" width="8.5" style="1" customWidth="1"/>
    <col min="7138" max="7375" width="9" style="1"/>
    <col min="7376" max="7376" width="6.6640625" style="1" customWidth="1"/>
    <col min="7377" max="7377" width="6.33203125" style="1" customWidth="1"/>
    <col min="7378" max="7381" width="8" style="1" customWidth="1"/>
    <col min="7382" max="7382" width="7.5" style="1" customWidth="1"/>
    <col min="7383" max="7384" width="8" style="1" customWidth="1"/>
    <col min="7385" max="7386" width="7.6640625" style="1" customWidth="1"/>
    <col min="7387" max="7387" width="9.6640625" style="1" customWidth="1"/>
    <col min="7388" max="7388" width="8.5" style="1" customWidth="1"/>
    <col min="7389" max="7389" width="7.6640625" style="1" customWidth="1"/>
    <col min="7390" max="7390" width="6.33203125" style="1" customWidth="1"/>
    <col min="7391" max="7391" width="8" style="1" customWidth="1"/>
    <col min="7392" max="7392" width="9.6640625" style="1" customWidth="1"/>
    <col min="7393" max="7393" width="8.5" style="1" customWidth="1"/>
    <col min="7394" max="7631" width="9" style="1"/>
    <col min="7632" max="7632" width="6.6640625" style="1" customWidth="1"/>
    <col min="7633" max="7633" width="6.33203125" style="1" customWidth="1"/>
    <col min="7634" max="7637" width="8" style="1" customWidth="1"/>
    <col min="7638" max="7638" width="7.5" style="1" customWidth="1"/>
    <col min="7639" max="7640" width="8" style="1" customWidth="1"/>
    <col min="7641" max="7642" width="7.6640625" style="1" customWidth="1"/>
    <col min="7643" max="7643" width="9.6640625" style="1" customWidth="1"/>
    <col min="7644" max="7644" width="8.5" style="1" customWidth="1"/>
    <col min="7645" max="7645" width="7.6640625" style="1" customWidth="1"/>
    <col min="7646" max="7646" width="6.33203125" style="1" customWidth="1"/>
    <col min="7647" max="7647" width="8" style="1" customWidth="1"/>
    <col min="7648" max="7648" width="9.6640625" style="1" customWidth="1"/>
    <col min="7649" max="7649" width="8.5" style="1" customWidth="1"/>
    <col min="7650" max="7887" width="9" style="1"/>
    <col min="7888" max="7888" width="6.6640625" style="1" customWidth="1"/>
    <col min="7889" max="7889" width="6.33203125" style="1" customWidth="1"/>
    <col min="7890" max="7893" width="8" style="1" customWidth="1"/>
    <col min="7894" max="7894" width="7.5" style="1" customWidth="1"/>
    <col min="7895" max="7896" width="8" style="1" customWidth="1"/>
    <col min="7897" max="7898" width="7.6640625" style="1" customWidth="1"/>
    <col min="7899" max="7899" width="9.6640625" style="1" customWidth="1"/>
    <col min="7900" max="7900" width="8.5" style="1" customWidth="1"/>
    <col min="7901" max="7901" width="7.6640625" style="1" customWidth="1"/>
    <col min="7902" max="7902" width="6.33203125" style="1" customWidth="1"/>
    <col min="7903" max="7903" width="8" style="1" customWidth="1"/>
    <col min="7904" max="7904" width="9.6640625" style="1" customWidth="1"/>
    <col min="7905" max="7905" width="8.5" style="1" customWidth="1"/>
    <col min="7906" max="8143" width="9" style="1"/>
    <col min="8144" max="8144" width="6.6640625" style="1" customWidth="1"/>
    <col min="8145" max="8145" width="6.33203125" style="1" customWidth="1"/>
    <col min="8146" max="8149" width="8" style="1" customWidth="1"/>
    <col min="8150" max="8150" width="7.5" style="1" customWidth="1"/>
    <col min="8151" max="8152" width="8" style="1" customWidth="1"/>
    <col min="8153" max="8154" width="7.6640625" style="1" customWidth="1"/>
    <col min="8155" max="8155" width="9.6640625" style="1" customWidth="1"/>
    <col min="8156" max="8156" width="8.5" style="1" customWidth="1"/>
    <col min="8157" max="8157" width="7.6640625" style="1" customWidth="1"/>
    <col min="8158" max="8158" width="6.33203125" style="1" customWidth="1"/>
    <col min="8159" max="8159" width="8" style="1" customWidth="1"/>
    <col min="8160" max="8160" width="9.6640625" style="1" customWidth="1"/>
    <col min="8161" max="8161" width="8.5" style="1" customWidth="1"/>
    <col min="8162" max="8399" width="9" style="1"/>
    <col min="8400" max="8400" width="6.6640625" style="1" customWidth="1"/>
    <col min="8401" max="8401" width="6.33203125" style="1" customWidth="1"/>
    <col min="8402" max="8405" width="8" style="1" customWidth="1"/>
    <col min="8406" max="8406" width="7.5" style="1" customWidth="1"/>
    <col min="8407" max="8408" width="8" style="1" customWidth="1"/>
    <col min="8409" max="8410" width="7.6640625" style="1" customWidth="1"/>
    <col min="8411" max="8411" width="9.6640625" style="1" customWidth="1"/>
    <col min="8412" max="8412" width="8.5" style="1" customWidth="1"/>
    <col min="8413" max="8413" width="7.6640625" style="1" customWidth="1"/>
    <col min="8414" max="8414" width="6.33203125" style="1" customWidth="1"/>
    <col min="8415" max="8415" width="8" style="1" customWidth="1"/>
    <col min="8416" max="8416" width="9.6640625" style="1" customWidth="1"/>
    <col min="8417" max="8417" width="8.5" style="1" customWidth="1"/>
    <col min="8418" max="8655" width="9" style="1"/>
    <col min="8656" max="8656" width="6.6640625" style="1" customWidth="1"/>
    <col min="8657" max="8657" width="6.33203125" style="1" customWidth="1"/>
    <col min="8658" max="8661" width="8" style="1" customWidth="1"/>
    <col min="8662" max="8662" width="7.5" style="1" customWidth="1"/>
    <col min="8663" max="8664" width="8" style="1" customWidth="1"/>
    <col min="8665" max="8666" width="7.6640625" style="1" customWidth="1"/>
    <col min="8667" max="8667" width="9.6640625" style="1" customWidth="1"/>
    <col min="8668" max="8668" width="8.5" style="1" customWidth="1"/>
    <col min="8669" max="8669" width="7.6640625" style="1" customWidth="1"/>
    <col min="8670" max="8670" width="6.33203125" style="1" customWidth="1"/>
    <col min="8671" max="8671" width="8" style="1" customWidth="1"/>
    <col min="8672" max="8672" width="9.6640625" style="1" customWidth="1"/>
    <col min="8673" max="8673" width="8.5" style="1" customWidth="1"/>
    <col min="8674" max="8911" width="9" style="1"/>
    <col min="8912" max="8912" width="6.6640625" style="1" customWidth="1"/>
    <col min="8913" max="8913" width="6.33203125" style="1" customWidth="1"/>
    <col min="8914" max="8917" width="8" style="1" customWidth="1"/>
    <col min="8918" max="8918" width="7.5" style="1" customWidth="1"/>
    <col min="8919" max="8920" width="8" style="1" customWidth="1"/>
    <col min="8921" max="8922" width="7.6640625" style="1" customWidth="1"/>
    <col min="8923" max="8923" width="9.6640625" style="1" customWidth="1"/>
    <col min="8924" max="8924" width="8.5" style="1" customWidth="1"/>
    <col min="8925" max="8925" width="7.6640625" style="1" customWidth="1"/>
    <col min="8926" max="8926" width="6.33203125" style="1" customWidth="1"/>
    <col min="8927" max="8927" width="8" style="1" customWidth="1"/>
    <col min="8928" max="8928" width="9.6640625" style="1" customWidth="1"/>
    <col min="8929" max="8929" width="8.5" style="1" customWidth="1"/>
    <col min="8930" max="9167" width="9" style="1"/>
    <col min="9168" max="9168" width="6.6640625" style="1" customWidth="1"/>
    <col min="9169" max="9169" width="6.33203125" style="1" customWidth="1"/>
    <col min="9170" max="9173" width="8" style="1" customWidth="1"/>
    <col min="9174" max="9174" width="7.5" style="1" customWidth="1"/>
    <col min="9175" max="9176" width="8" style="1" customWidth="1"/>
    <col min="9177" max="9178" width="7.6640625" style="1" customWidth="1"/>
    <col min="9179" max="9179" width="9.6640625" style="1" customWidth="1"/>
    <col min="9180" max="9180" width="8.5" style="1" customWidth="1"/>
    <col min="9181" max="9181" width="7.6640625" style="1" customWidth="1"/>
    <col min="9182" max="9182" width="6.33203125" style="1" customWidth="1"/>
    <col min="9183" max="9183" width="8" style="1" customWidth="1"/>
    <col min="9184" max="9184" width="9.6640625" style="1" customWidth="1"/>
    <col min="9185" max="9185" width="8.5" style="1" customWidth="1"/>
    <col min="9186" max="9423" width="9" style="1"/>
    <col min="9424" max="9424" width="6.6640625" style="1" customWidth="1"/>
    <col min="9425" max="9425" width="6.33203125" style="1" customWidth="1"/>
    <col min="9426" max="9429" width="8" style="1" customWidth="1"/>
    <col min="9430" max="9430" width="7.5" style="1" customWidth="1"/>
    <col min="9431" max="9432" width="8" style="1" customWidth="1"/>
    <col min="9433" max="9434" width="7.6640625" style="1" customWidth="1"/>
    <col min="9435" max="9435" width="9.6640625" style="1" customWidth="1"/>
    <col min="9436" max="9436" width="8.5" style="1" customWidth="1"/>
    <col min="9437" max="9437" width="7.6640625" style="1" customWidth="1"/>
    <col min="9438" max="9438" width="6.33203125" style="1" customWidth="1"/>
    <col min="9439" max="9439" width="8" style="1" customWidth="1"/>
    <col min="9440" max="9440" width="9.6640625" style="1" customWidth="1"/>
    <col min="9441" max="9441" width="8.5" style="1" customWidth="1"/>
    <col min="9442" max="9679" width="9" style="1"/>
    <col min="9680" max="9680" width="6.6640625" style="1" customWidth="1"/>
    <col min="9681" max="9681" width="6.33203125" style="1" customWidth="1"/>
    <col min="9682" max="9685" width="8" style="1" customWidth="1"/>
    <col min="9686" max="9686" width="7.5" style="1" customWidth="1"/>
    <col min="9687" max="9688" width="8" style="1" customWidth="1"/>
    <col min="9689" max="9690" width="7.6640625" style="1" customWidth="1"/>
    <col min="9691" max="9691" width="9.6640625" style="1" customWidth="1"/>
    <col min="9692" max="9692" width="8.5" style="1" customWidth="1"/>
    <col min="9693" max="9693" width="7.6640625" style="1" customWidth="1"/>
    <col min="9694" max="9694" width="6.33203125" style="1" customWidth="1"/>
    <col min="9695" max="9695" width="8" style="1" customWidth="1"/>
    <col min="9696" max="9696" width="9.6640625" style="1" customWidth="1"/>
    <col min="9697" max="9697" width="8.5" style="1" customWidth="1"/>
    <col min="9698" max="9935" width="9" style="1"/>
    <col min="9936" max="9936" width="6.6640625" style="1" customWidth="1"/>
    <col min="9937" max="9937" width="6.33203125" style="1" customWidth="1"/>
    <col min="9938" max="9941" width="8" style="1" customWidth="1"/>
    <col min="9942" max="9942" width="7.5" style="1" customWidth="1"/>
    <col min="9943" max="9944" width="8" style="1" customWidth="1"/>
    <col min="9945" max="9946" width="7.6640625" style="1" customWidth="1"/>
    <col min="9947" max="9947" width="9.6640625" style="1" customWidth="1"/>
    <col min="9948" max="9948" width="8.5" style="1" customWidth="1"/>
    <col min="9949" max="9949" width="7.6640625" style="1" customWidth="1"/>
    <col min="9950" max="9950" width="6.33203125" style="1" customWidth="1"/>
    <col min="9951" max="9951" width="8" style="1" customWidth="1"/>
    <col min="9952" max="9952" width="9.6640625" style="1" customWidth="1"/>
    <col min="9953" max="9953" width="8.5" style="1" customWidth="1"/>
    <col min="9954" max="10191" width="9" style="1"/>
    <col min="10192" max="10192" width="6.6640625" style="1" customWidth="1"/>
    <col min="10193" max="10193" width="6.33203125" style="1" customWidth="1"/>
    <col min="10194" max="10197" width="8" style="1" customWidth="1"/>
    <col min="10198" max="10198" width="7.5" style="1" customWidth="1"/>
    <col min="10199" max="10200" width="8" style="1" customWidth="1"/>
    <col min="10201" max="10202" width="7.6640625" style="1" customWidth="1"/>
    <col min="10203" max="10203" width="9.6640625" style="1" customWidth="1"/>
    <col min="10204" max="10204" width="8.5" style="1" customWidth="1"/>
    <col min="10205" max="10205" width="7.6640625" style="1" customWidth="1"/>
    <col min="10206" max="10206" width="6.33203125" style="1" customWidth="1"/>
    <col min="10207" max="10207" width="8" style="1" customWidth="1"/>
    <col min="10208" max="10208" width="9.6640625" style="1" customWidth="1"/>
    <col min="10209" max="10209" width="8.5" style="1" customWidth="1"/>
    <col min="10210" max="10447" width="9" style="1"/>
    <col min="10448" max="10448" width="6.6640625" style="1" customWidth="1"/>
    <col min="10449" max="10449" width="6.33203125" style="1" customWidth="1"/>
    <col min="10450" max="10453" width="8" style="1" customWidth="1"/>
    <col min="10454" max="10454" width="7.5" style="1" customWidth="1"/>
    <col min="10455" max="10456" width="8" style="1" customWidth="1"/>
    <col min="10457" max="10458" width="7.6640625" style="1" customWidth="1"/>
    <col min="10459" max="10459" width="9.6640625" style="1" customWidth="1"/>
    <col min="10460" max="10460" width="8.5" style="1" customWidth="1"/>
    <col min="10461" max="10461" width="7.6640625" style="1" customWidth="1"/>
    <col min="10462" max="10462" width="6.33203125" style="1" customWidth="1"/>
    <col min="10463" max="10463" width="8" style="1" customWidth="1"/>
    <col min="10464" max="10464" width="9.6640625" style="1" customWidth="1"/>
    <col min="10465" max="10465" width="8.5" style="1" customWidth="1"/>
    <col min="10466" max="10703" width="9" style="1"/>
    <col min="10704" max="10704" width="6.6640625" style="1" customWidth="1"/>
    <col min="10705" max="10705" width="6.33203125" style="1" customWidth="1"/>
    <col min="10706" max="10709" width="8" style="1" customWidth="1"/>
    <col min="10710" max="10710" width="7.5" style="1" customWidth="1"/>
    <col min="10711" max="10712" width="8" style="1" customWidth="1"/>
    <col min="10713" max="10714" width="7.6640625" style="1" customWidth="1"/>
    <col min="10715" max="10715" width="9.6640625" style="1" customWidth="1"/>
    <col min="10716" max="10716" width="8.5" style="1" customWidth="1"/>
    <col min="10717" max="10717" width="7.6640625" style="1" customWidth="1"/>
    <col min="10718" max="10718" width="6.33203125" style="1" customWidth="1"/>
    <col min="10719" max="10719" width="8" style="1" customWidth="1"/>
    <col min="10720" max="10720" width="9.6640625" style="1" customWidth="1"/>
    <col min="10721" max="10721" width="8.5" style="1" customWidth="1"/>
    <col min="10722" max="10959" width="9" style="1"/>
    <col min="10960" max="10960" width="6.6640625" style="1" customWidth="1"/>
    <col min="10961" max="10961" width="6.33203125" style="1" customWidth="1"/>
    <col min="10962" max="10965" width="8" style="1" customWidth="1"/>
    <col min="10966" max="10966" width="7.5" style="1" customWidth="1"/>
    <col min="10967" max="10968" width="8" style="1" customWidth="1"/>
    <col min="10969" max="10970" width="7.6640625" style="1" customWidth="1"/>
    <col min="10971" max="10971" width="9.6640625" style="1" customWidth="1"/>
    <col min="10972" max="10972" width="8.5" style="1" customWidth="1"/>
    <col min="10973" max="10973" width="7.6640625" style="1" customWidth="1"/>
    <col min="10974" max="10974" width="6.33203125" style="1" customWidth="1"/>
    <col min="10975" max="10975" width="8" style="1" customWidth="1"/>
    <col min="10976" max="10976" width="9.6640625" style="1" customWidth="1"/>
    <col min="10977" max="10977" width="8.5" style="1" customWidth="1"/>
    <col min="10978" max="11215" width="9" style="1"/>
    <col min="11216" max="11216" width="6.6640625" style="1" customWidth="1"/>
    <col min="11217" max="11217" width="6.33203125" style="1" customWidth="1"/>
    <col min="11218" max="11221" width="8" style="1" customWidth="1"/>
    <col min="11222" max="11222" width="7.5" style="1" customWidth="1"/>
    <col min="11223" max="11224" width="8" style="1" customWidth="1"/>
    <col min="11225" max="11226" width="7.6640625" style="1" customWidth="1"/>
    <col min="11227" max="11227" width="9.6640625" style="1" customWidth="1"/>
    <col min="11228" max="11228" width="8.5" style="1" customWidth="1"/>
    <col min="11229" max="11229" width="7.6640625" style="1" customWidth="1"/>
    <col min="11230" max="11230" width="6.33203125" style="1" customWidth="1"/>
    <col min="11231" max="11231" width="8" style="1" customWidth="1"/>
    <col min="11232" max="11232" width="9.6640625" style="1" customWidth="1"/>
    <col min="11233" max="11233" width="8.5" style="1" customWidth="1"/>
    <col min="11234" max="11471" width="9" style="1"/>
    <col min="11472" max="11472" width="6.6640625" style="1" customWidth="1"/>
    <col min="11473" max="11473" width="6.33203125" style="1" customWidth="1"/>
    <col min="11474" max="11477" width="8" style="1" customWidth="1"/>
    <col min="11478" max="11478" width="7.5" style="1" customWidth="1"/>
    <col min="11479" max="11480" width="8" style="1" customWidth="1"/>
    <col min="11481" max="11482" width="7.6640625" style="1" customWidth="1"/>
    <col min="11483" max="11483" width="9.6640625" style="1" customWidth="1"/>
    <col min="11484" max="11484" width="8.5" style="1" customWidth="1"/>
    <col min="11485" max="11485" width="7.6640625" style="1" customWidth="1"/>
    <col min="11486" max="11486" width="6.33203125" style="1" customWidth="1"/>
    <col min="11487" max="11487" width="8" style="1" customWidth="1"/>
    <col min="11488" max="11488" width="9.6640625" style="1" customWidth="1"/>
    <col min="11489" max="11489" width="8.5" style="1" customWidth="1"/>
    <col min="11490" max="11727" width="9" style="1"/>
    <col min="11728" max="11728" width="6.6640625" style="1" customWidth="1"/>
    <col min="11729" max="11729" width="6.33203125" style="1" customWidth="1"/>
    <col min="11730" max="11733" width="8" style="1" customWidth="1"/>
    <col min="11734" max="11734" width="7.5" style="1" customWidth="1"/>
    <col min="11735" max="11736" width="8" style="1" customWidth="1"/>
    <col min="11737" max="11738" width="7.6640625" style="1" customWidth="1"/>
    <col min="11739" max="11739" width="9.6640625" style="1" customWidth="1"/>
    <col min="11740" max="11740" width="8.5" style="1" customWidth="1"/>
    <col min="11741" max="11741" width="7.6640625" style="1" customWidth="1"/>
    <col min="11742" max="11742" width="6.33203125" style="1" customWidth="1"/>
    <col min="11743" max="11743" width="8" style="1" customWidth="1"/>
    <col min="11744" max="11744" width="9.6640625" style="1" customWidth="1"/>
    <col min="11745" max="11745" width="8.5" style="1" customWidth="1"/>
    <col min="11746" max="11983" width="9" style="1"/>
    <col min="11984" max="11984" width="6.6640625" style="1" customWidth="1"/>
    <col min="11985" max="11985" width="6.33203125" style="1" customWidth="1"/>
    <col min="11986" max="11989" width="8" style="1" customWidth="1"/>
    <col min="11990" max="11990" width="7.5" style="1" customWidth="1"/>
    <col min="11991" max="11992" width="8" style="1" customWidth="1"/>
    <col min="11993" max="11994" width="7.6640625" style="1" customWidth="1"/>
    <col min="11995" max="11995" width="9.6640625" style="1" customWidth="1"/>
    <col min="11996" max="11996" width="8.5" style="1" customWidth="1"/>
    <col min="11997" max="11997" width="7.6640625" style="1" customWidth="1"/>
    <col min="11998" max="11998" width="6.33203125" style="1" customWidth="1"/>
    <col min="11999" max="11999" width="8" style="1" customWidth="1"/>
    <col min="12000" max="12000" width="9.6640625" style="1" customWidth="1"/>
    <col min="12001" max="12001" width="8.5" style="1" customWidth="1"/>
    <col min="12002" max="12239" width="9" style="1"/>
    <col min="12240" max="12240" width="6.6640625" style="1" customWidth="1"/>
    <col min="12241" max="12241" width="6.33203125" style="1" customWidth="1"/>
    <col min="12242" max="12245" width="8" style="1" customWidth="1"/>
    <col min="12246" max="12246" width="7.5" style="1" customWidth="1"/>
    <col min="12247" max="12248" width="8" style="1" customWidth="1"/>
    <col min="12249" max="12250" width="7.6640625" style="1" customWidth="1"/>
    <col min="12251" max="12251" width="9.6640625" style="1" customWidth="1"/>
    <col min="12252" max="12252" width="8.5" style="1" customWidth="1"/>
    <col min="12253" max="12253" width="7.6640625" style="1" customWidth="1"/>
    <col min="12254" max="12254" width="6.33203125" style="1" customWidth="1"/>
    <col min="12255" max="12255" width="8" style="1" customWidth="1"/>
    <col min="12256" max="12256" width="9.6640625" style="1" customWidth="1"/>
    <col min="12257" max="12257" width="8.5" style="1" customWidth="1"/>
    <col min="12258" max="12495" width="9" style="1"/>
    <col min="12496" max="12496" width="6.6640625" style="1" customWidth="1"/>
    <col min="12497" max="12497" width="6.33203125" style="1" customWidth="1"/>
    <col min="12498" max="12501" width="8" style="1" customWidth="1"/>
    <col min="12502" max="12502" width="7.5" style="1" customWidth="1"/>
    <col min="12503" max="12504" width="8" style="1" customWidth="1"/>
    <col min="12505" max="12506" width="7.6640625" style="1" customWidth="1"/>
    <col min="12507" max="12507" width="9.6640625" style="1" customWidth="1"/>
    <col min="12508" max="12508" width="8.5" style="1" customWidth="1"/>
    <col min="12509" max="12509" width="7.6640625" style="1" customWidth="1"/>
    <col min="12510" max="12510" width="6.33203125" style="1" customWidth="1"/>
    <col min="12511" max="12511" width="8" style="1" customWidth="1"/>
    <col min="12512" max="12512" width="9.6640625" style="1" customWidth="1"/>
    <col min="12513" max="12513" width="8.5" style="1" customWidth="1"/>
    <col min="12514" max="12751" width="9" style="1"/>
    <col min="12752" max="12752" width="6.6640625" style="1" customWidth="1"/>
    <col min="12753" max="12753" width="6.33203125" style="1" customWidth="1"/>
    <col min="12754" max="12757" width="8" style="1" customWidth="1"/>
    <col min="12758" max="12758" width="7.5" style="1" customWidth="1"/>
    <col min="12759" max="12760" width="8" style="1" customWidth="1"/>
    <col min="12761" max="12762" width="7.6640625" style="1" customWidth="1"/>
    <col min="12763" max="12763" width="9.6640625" style="1" customWidth="1"/>
    <col min="12764" max="12764" width="8.5" style="1" customWidth="1"/>
    <col min="12765" max="12765" width="7.6640625" style="1" customWidth="1"/>
    <col min="12766" max="12766" width="6.33203125" style="1" customWidth="1"/>
    <col min="12767" max="12767" width="8" style="1" customWidth="1"/>
    <col min="12768" max="12768" width="9.6640625" style="1" customWidth="1"/>
    <col min="12769" max="12769" width="8.5" style="1" customWidth="1"/>
    <col min="12770" max="13007" width="9" style="1"/>
    <col min="13008" max="13008" width="6.6640625" style="1" customWidth="1"/>
    <col min="13009" max="13009" width="6.33203125" style="1" customWidth="1"/>
    <col min="13010" max="13013" width="8" style="1" customWidth="1"/>
    <col min="13014" max="13014" width="7.5" style="1" customWidth="1"/>
    <col min="13015" max="13016" width="8" style="1" customWidth="1"/>
    <col min="13017" max="13018" width="7.6640625" style="1" customWidth="1"/>
    <col min="13019" max="13019" width="9.6640625" style="1" customWidth="1"/>
    <col min="13020" max="13020" width="8.5" style="1" customWidth="1"/>
    <col min="13021" max="13021" width="7.6640625" style="1" customWidth="1"/>
    <col min="13022" max="13022" width="6.33203125" style="1" customWidth="1"/>
    <col min="13023" max="13023" width="8" style="1" customWidth="1"/>
    <col min="13024" max="13024" width="9.6640625" style="1" customWidth="1"/>
    <col min="13025" max="13025" width="8.5" style="1" customWidth="1"/>
    <col min="13026" max="13263" width="9" style="1"/>
    <col min="13264" max="13264" width="6.6640625" style="1" customWidth="1"/>
    <col min="13265" max="13265" width="6.33203125" style="1" customWidth="1"/>
    <col min="13266" max="13269" width="8" style="1" customWidth="1"/>
    <col min="13270" max="13270" width="7.5" style="1" customWidth="1"/>
    <col min="13271" max="13272" width="8" style="1" customWidth="1"/>
    <col min="13273" max="13274" width="7.6640625" style="1" customWidth="1"/>
    <col min="13275" max="13275" width="9.6640625" style="1" customWidth="1"/>
    <col min="13276" max="13276" width="8.5" style="1" customWidth="1"/>
    <col min="13277" max="13277" width="7.6640625" style="1" customWidth="1"/>
    <col min="13278" max="13278" width="6.33203125" style="1" customWidth="1"/>
    <col min="13279" max="13279" width="8" style="1" customWidth="1"/>
    <col min="13280" max="13280" width="9.6640625" style="1" customWidth="1"/>
    <col min="13281" max="13281" width="8.5" style="1" customWidth="1"/>
    <col min="13282" max="13519" width="9" style="1"/>
    <col min="13520" max="13520" width="6.6640625" style="1" customWidth="1"/>
    <col min="13521" max="13521" width="6.33203125" style="1" customWidth="1"/>
    <col min="13522" max="13525" width="8" style="1" customWidth="1"/>
    <col min="13526" max="13526" width="7.5" style="1" customWidth="1"/>
    <col min="13527" max="13528" width="8" style="1" customWidth="1"/>
    <col min="13529" max="13530" width="7.6640625" style="1" customWidth="1"/>
    <col min="13531" max="13531" width="9.6640625" style="1" customWidth="1"/>
    <col min="13532" max="13532" width="8.5" style="1" customWidth="1"/>
    <col min="13533" max="13533" width="7.6640625" style="1" customWidth="1"/>
    <col min="13534" max="13534" width="6.33203125" style="1" customWidth="1"/>
    <col min="13535" max="13535" width="8" style="1" customWidth="1"/>
    <col min="13536" max="13536" width="9.6640625" style="1" customWidth="1"/>
    <col min="13537" max="13537" width="8.5" style="1" customWidth="1"/>
    <col min="13538" max="13775" width="9" style="1"/>
    <col min="13776" max="13776" width="6.6640625" style="1" customWidth="1"/>
    <col min="13777" max="13777" width="6.33203125" style="1" customWidth="1"/>
    <col min="13778" max="13781" width="8" style="1" customWidth="1"/>
    <col min="13782" max="13782" width="7.5" style="1" customWidth="1"/>
    <col min="13783" max="13784" width="8" style="1" customWidth="1"/>
    <col min="13785" max="13786" width="7.6640625" style="1" customWidth="1"/>
    <col min="13787" max="13787" width="9.6640625" style="1" customWidth="1"/>
    <col min="13788" max="13788" width="8.5" style="1" customWidth="1"/>
    <col min="13789" max="13789" width="7.6640625" style="1" customWidth="1"/>
    <col min="13790" max="13790" width="6.33203125" style="1" customWidth="1"/>
    <col min="13791" max="13791" width="8" style="1" customWidth="1"/>
    <col min="13792" max="13792" width="9.6640625" style="1" customWidth="1"/>
    <col min="13793" max="13793" width="8.5" style="1" customWidth="1"/>
    <col min="13794" max="14031" width="9" style="1"/>
    <col min="14032" max="14032" width="6.6640625" style="1" customWidth="1"/>
    <col min="14033" max="14033" width="6.33203125" style="1" customWidth="1"/>
    <col min="14034" max="14037" width="8" style="1" customWidth="1"/>
    <col min="14038" max="14038" width="7.5" style="1" customWidth="1"/>
    <col min="14039" max="14040" width="8" style="1" customWidth="1"/>
    <col min="14041" max="14042" width="7.6640625" style="1" customWidth="1"/>
    <col min="14043" max="14043" width="9.6640625" style="1" customWidth="1"/>
    <col min="14044" max="14044" width="8.5" style="1" customWidth="1"/>
    <col min="14045" max="14045" width="7.6640625" style="1" customWidth="1"/>
    <col min="14046" max="14046" width="6.33203125" style="1" customWidth="1"/>
    <col min="14047" max="14047" width="8" style="1" customWidth="1"/>
    <col min="14048" max="14048" width="9.6640625" style="1" customWidth="1"/>
    <col min="14049" max="14049" width="8.5" style="1" customWidth="1"/>
    <col min="14050" max="14287" width="9" style="1"/>
    <col min="14288" max="14288" width="6.6640625" style="1" customWidth="1"/>
    <col min="14289" max="14289" width="6.33203125" style="1" customWidth="1"/>
    <col min="14290" max="14293" width="8" style="1" customWidth="1"/>
    <col min="14294" max="14294" width="7.5" style="1" customWidth="1"/>
    <col min="14295" max="14296" width="8" style="1" customWidth="1"/>
    <col min="14297" max="14298" width="7.6640625" style="1" customWidth="1"/>
    <col min="14299" max="14299" width="9.6640625" style="1" customWidth="1"/>
    <col min="14300" max="14300" width="8.5" style="1" customWidth="1"/>
    <col min="14301" max="14301" width="7.6640625" style="1" customWidth="1"/>
    <col min="14302" max="14302" width="6.33203125" style="1" customWidth="1"/>
    <col min="14303" max="14303" width="8" style="1" customWidth="1"/>
    <col min="14304" max="14304" width="9.6640625" style="1" customWidth="1"/>
    <col min="14305" max="14305" width="8.5" style="1" customWidth="1"/>
    <col min="14306" max="14543" width="9" style="1"/>
    <col min="14544" max="14544" width="6.6640625" style="1" customWidth="1"/>
    <col min="14545" max="14545" width="6.33203125" style="1" customWidth="1"/>
    <col min="14546" max="14549" width="8" style="1" customWidth="1"/>
    <col min="14550" max="14550" width="7.5" style="1" customWidth="1"/>
    <col min="14551" max="14552" width="8" style="1" customWidth="1"/>
    <col min="14553" max="14554" width="7.6640625" style="1" customWidth="1"/>
    <col min="14555" max="14555" width="9.6640625" style="1" customWidth="1"/>
    <col min="14556" max="14556" width="8.5" style="1" customWidth="1"/>
    <col min="14557" max="14557" width="7.6640625" style="1" customWidth="1"/>
    <col min="14558" max="14558" width="6.33203125" style="1" customWidth="1"/>
    <col min="14559" max="14559" width="8" style="1" customWidth="1"/>
    <col min="14560" max="14560" width="9.6640625" style="1" customWidth="1"/>
    <col min="14561" max="14561" width="8.5" style="1" customWidth="1"/>
    <col min="14562" max="14799" width="9" style="1"/>
    <col min="14800" max="14800" width="6.6640625" style="1" customWidth="1"/>
    <col min="14801" max="14801" width="6.33203125" style="1" customWidth="1"/>
    <col min="14802" max="14805" width="8" style="1" customWidth="1"/>
    <col min="14806" max="14806" width="7.5" style="1" customWidth="1"/>
    <col min="14807" max="14808" width="8" style="1" customWidth="1"/>
    <col min="14809" max="14810" width="7.6640625" style="1" customWidth="1"/>
    <col min="14811" max="14811" width="9.6640625" style="1" customWidth="1"/>
    <col min="14812" max="14812" width="8.5" style="1" customWidth="1"/>
    <col min="14813" max="14813" width="7.6640625" style="1" customWidth="1"/>
    <col min="14814" max="14814" width="6.33203125" style="1" customWidth="1"/>
    <col min="14815" max="14815" width="8" style="1" customWidth="1"/>
    <col min="14816" max="14816" width="9.6640625" style="1" customWidth="1"/>
    <col min="14817" max="14817" width="8.5" style="1" customWidth="1"/>
    <col min="14818" max="15055" width="9" style="1"/>
    <col min="15056" max="15056" width="6.6640625" style="1" customWidth="1"/>
    <col min="15057" max="15057" width="6.33203125" style="1" customWidth="1"/>
    <col min="15058" max="15061" width="8" style="1" customWidth="1"/>
    <col min="15062" max="15062" width="7.5" style="1" customWidth="1"/>
    <col min="15063" max="15064" width="8" style="1" customWidth="1"/>
    <col min="15065" max="15066" width="7.6640625" style="1" customWidth="1"/>
    <col min="15067" max="15067" width="9.6640625" style="1" customWidth="1"/>
    <col min="15068" max="15068" width="8.5" style="1" customWidth="1"/>
    <col min="15069" max="15069" width="7.6640625" style="1" customWidth="1"/>
    <col min="15070" max="15070" width="6.33203125" style="1" customWidth="1"/>
    <col min="15071" max="15071" width="8" style="1" customWidth="1"/>
    <col min="15072" max="15072" width="9.6640625" style="1" customWidth="1"/>
    <col min="15073" max="15073" width="8.5" style="1" customWidth="1"/>
    <col min="15074" max="15311" width="9" style="1"/>
    <col min="15312" max="15312" width="6.6640625" style="1" customWidth="1"/>
    <col min="15313" max="15313" width="6.33203125" style="1" customWidth="1"/>
    <col min="15314" max="15317" width="8" style="1" customWidth="1"/>
    <col min="15318" max="15318" width="7.5" style="1" customWidth="1"/>
    <col min="15319" max="15320" width="8" style="1" customWidth="1"/>
    <col min="15321" max="15322" width="7.6640625" style="1" customWidth="1"/>
    <col min="15323" max="15323" width="9.6640625" style="1" customWidth="1"/>
    <col min="15324" max="15324" width="8.5" style="1" customWidth="1"/>
    <col min="15325" max="15325" width="7.6640625" style="1" customWidth="1"/>
    <col min="15326" max="15326" width="6.33203125" style="1" customWidth="1"/>
    <col min="15327" max="15327" width="8" style="1" customWidth="1"/>
    <col min="15328" max="15328" width="9.6640625" style="1" customWidth="1"/>
    <col min="15329" max="15329" width="8.5" style="1" customWidth="1"/>
    <col min="15330" max="15567" width="9" style="1"/>
    <col min="15568" max="15568" width="6.6640625" style="1" customWidth="1"/>
    <col min="15569" max="15569" width="6.33203125" style="1" customWidth="1"/>
    <col min="15570" max="15573" width="8" style="1" customWidth="1"/>
    <col min="15574" max="15574" width="7.5" style="1" customWidth="1"/>
    <col min="15575" max="15576" width="8" style="1" customWidth="1"/>
    <col min="15577" max="15578" width="7.6640625" style="1" customWidth="1"/>
    <col min="15579" max="15579" width="9.6640625" style="1" customWidth="1"/>
    <col min="15580" max="15580" width="8.5" style="1" customWidth="1"/>
    <col min="15581" max="15581" width="7.6640625" style="1" customWidth="1"/>
    <col min="15582" max="15582" width="6.33203125" style="1" customWidth="1"/>
    <col min="15583" max="15583" width="8" style="1" customWidth="1"/>
    <col min="15584" max="15584" width="9.6640625" style="1" customWidth="1"/>
    <col min="15585" max="15585" width="8.5" style="1" customWidth="1"/>
    <col min="15586" max="15823" width="9" style="1"/>
    <col min="15824" max="15824" width="6.6640625" style="1" customWidth="1"/>
    <col min="15825" max="15825" width="6.33203125" style="1" customWidth="1"/>
    <col min="15826" max="15829" width="8" style="1" customWidth="1"/>
    <col min="15830" max="15830" width="7.5" style="1" customWidth="1"/>
    <col min="15831" max="15832" width="8" style="1" customWidth="1"/>
    <col min="15833" max="15834" width="7.6640625" style="1" customWidth="1"/>
    <col min="15835" max="15835" width="9.6640625" style="1" customWidth="1"/>
    <col min="15836" max="15836" width="8.5" style="1" customWidth="1"/>
    <col min="15837" max="15837" width="7.6640625" style="1" customWidth="1"/>
    <col min="15838" max="15838" width="6.33203125" style="1" customWidth="1"/>
    <col min="15839" max="15839" width="8" style="1" customWidth="1"/>
    <col min="15840" max="15840" width="9.6640625" style="1" customWidth="1"/>
    <col min="15841" max="15841" width="8.5" style="1" customWidth="1"/>
    <col min="15842" max="16079" width="9" style="1"/>
    <col min="16080" max="16080" width="6.6640625" style="1" customWidth="1"/>
    <col min="16081" max="16081" width="6.33203125" style="1" customWidth="1"/>
    <col min="16082" max="16085" width="8" style="1" customWidth="1"/>
    <col min="16086" max="16086" width="7.5" style="1" customWidth="1"/>
    <col min="16087" max="16088" width="8" style="1" customWidth="1"/>
    <col min="16089" max="16090" width="7.6640625" style="1" customWidth="1"/>
    <col min="16091" max="16091" width="9.6640625" style="1" customWidth="1"/>
    <col min="16092" max="16092" width="8.5" style="1" customWidth="1"/>
    <col min="16093" max="16093" width="7.6640625" style="1" customWidth="1"/>
    <col min="16094" max="16094" width="6.33203125" style="1" customWidth="1"/>
    <col min="16095" max="16095" width="8" style="1" customWidth="1"/>
    <col min="16096" max="16096" width="9.6640625" style="1" customWidth="1"/>
    <col min="16097" max="16097" width="8.5" style="1" customWidth="1"/>
    <col min="16098" max="16384" width="9" style="1"/>
  </cols>
  <sheetData>
    <row r="1" spans="1:14" ht="33" customHeight="1">
      <c r="A1" s="14" t="s">
        <v>36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18" customHeight="1">
      <c r="A2" s="2"/>
      <c r="B2" s="2"/>
      <c r="C2" s="2"/>
      <c r="D2" s="2"/>
      <c r="E2" s="2"/>
      <c r="F2" s="2"/>
      <c r="G2" s="2"/>
      <c r="H2" s="2"/>
      <c r="I2" s="2"/>
      <c r="J2" s="2"/>
      <c r="N2" s="3" t="s">
        <v>0</v>
      </c>
    </row>
    <row r="3" spans="1:14" s="7" customFormat="1" ht="32">
      <c r="A3" s="15" t="s">
        <v>1</v>
      </c>
      <c r="B3" s="15" t="s">
        <v>2</v>
      </c>
      <c r="C3" s="16" t="s">
        <v>3</v>
      </c>
      <c r="D3" s="15" t="s">
        <v>4</v>
      </c>
      <c r="E3" s="15" t="s">
        <v>5</v>
      </c>
      <c r="F3" s="15" t="s">
        <v>20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21</v>
      </c>
      <c r="M3" s="15" t="s">
        <v>22</v>
      </c>
      <c r="N3" s="17" t="s">
        <v>15</v>
      </c>
    </row>
    <row r="4" spans="1:14" ht="20.25" customHeight="1">
      <c r="A4" s="9" t="s">
        <v>16</v>
      </c>
      <c r="B4" s="8">
        <v>28333</v>
      </c>
      <c r="C4" s="8">
        <v>0</v>
      </c>
      <c r="D4" s="8">
        <v>3400</v>
      </c>
      <c r="E4" s="8">
        <v>600</v>
      </c>
      <c r="F4" s="8"/>
      <c r="G4" s="8">
        <v>-125.33</v>
      </c>
      <c r="H4" s="8">
        <v>-22</v>
      </c>
      <c r="I4" s="8">
        <v>-501.3</v>
      </c>
      <c r="J4" s="8">
        <v>-2005.2</v>
      </c>
      <c r="K4" s="8">
        <v>-3303</v>
      </c>
      <c r="L4" s="8">
        <v>0</v>
      </c>
      <c r="M4" s="8">
        <v>-4175.2299999999996</v>
      </c>
      <c r="N4" s="10">
        <v>22200.94</v>
      </c>
    </row>
    <row r="5" spans="1:14" ht="18" customHeight="1">
      <c r="A5" s="9" t="s">
        <v>16</v>
      </c>
      <c r="B5" s="8">
        <v>27083</v>
      </c>
      <c r="C5" s="8">
        <v>0</v>
      </c>
      <c r="D5" s="8">
        <v>3200</v>
      </c>
      <c r="E5" s="8">
        <v>500</v>
      </c>
      <c r="F5" s="8"/>
      <c r="G5" s="8">
        <v>-125.33</v>
      </c>
      <c r="H5" s="8">
        <v>-22</v>
      </c>
      <c r="I5" s="8">
        <v>-501.3</v>
      </c>
      <c r="J5" s="8">
        <v>-2005.2</v>
      </c>
      <c r="K5" s="8">
        <v>-3294</v>
      </c>
      <c r="L5" s="8">
        <v>0</v>
      </c>
      <c r="M5" s="8">
        <v>-3867.03</v>
      </c>
      <c r="N5" s="10">
        <v>20968.14</v>
      </c>
    </row>
    <row r="6" spans="1:14" ht="18" customHeight="1">
      <c r="A6" s="9" t="s">
        <v>17</v>
      </c>
      <c r="B6" s="8">
        <v>10821.5</v>
      </c>
      <c r="C6" s="8">
        <v>8657.2000000000007</v>
      </c>
      <c r="D6" s="8">
        <v>0</v>
      </c>
      <c r="E6" s="8">
        <v>0</v>
      </c>
      <c r="F6" s="8"/>
      <c r="G6" s="8">
        <v>-108.3</v>
      </c>
      <c r="H6" s="8">
        <v>-22</v>
      </c>
      <c r="I6" s="8">
        <v>-433.2</v>
      </c>
      <c r="J6" s="8">
        <v>-1732.8</v>
      </c>
      <c r="K6" s="8">
        <v>-2599</v>
      </c>
      <c r="L6" s="8">
        <v>0</v>
      </c>
      <c r="M6" s="8">
        <v>-808.34</v>
      </c>
      <c r="N6" s="10">
        <v>13775.060000000001</v>
      </c>
    </row>
    <row r="7" spans="1:14" ht="18" customHeight="1">
      <c r="A7" s="9" t="s">
        <v>17</v>
      </c>
      <c r="B7" s="8">
        <v>11246</v>
      </c>
      <c r="C7" s="8">
        <v>8996.8000000000011</v>
      </c>
      <c r="D7" s="8">
        <v>0</v>
      </c>
      <c r="E7" s="8">
        <v>0</v>
      </c>
      <c r="F7" s="8"/>
      <c r="G7" s="8">
        <v>-112.55</v>
      </c>
      <c r="H7" s="8">
        <v>-22</v>
      </c>
      <c r="I7" s="8">
        <v>-450.18</v>
      </c>
      <c r="J7" s="8">
        <v>-1800.72</v>
      </c>
      <c r="K7" s="8">
        <v>-2701</v>
      </c>
      <c r="L7" s="8">
        <v>0</v>
      </c>
      <c r="M7" s="8">
        <v>-707</v>
      </c>
      <c r="N7" s="10">
        <v>14449.350000000002</v>
      </c>
    </row>
    <row r="8" spans="1:14" ht="18" customHeight="1">
      <c r="A8" s="9" t="s">
        <v>18</v>
      </c>
      <c r="B8" s="8">
        <v>6250</v>
      </c>
      <c r="C8" s="8">
        <v>5500.0000000000009</v>
      </c>
      <c r="D8" s="8">
        <v>0</v>
      </c>
      <c r="E8" s="8">
        <v>0</v>
      </c>
      <c r="F8" s="8"/>
      <c r="G8" s="8">
        <v>-93.84</v>
      </c>
      <c r="H8" s="8">
        <v>-22</v>
      </c>
      <c r="I8" s="8">
        <v>-375.34</v>
      </c>
      <c r="J8" s="8">
        <v>-1501.36</v>
      </c>
      <c r="K8" s="8">
        <v>-2888</v>
      </c>
      <c r="L8" s="8">
        <v>0</v>
      </c>
      <c r="M8" s="8">
        <v>0</v>
      </c>
      <c r="N8" s="10">
        <v>6869.4599999999991</v>
      </c>
    </row>
    <row r="9" spans="1:14" ht="18" customHeight="1">
      <c r="A9" s="9" t="s">
        <v>17</v>
      </c>
      <c r="B9" s="8">
        <v>12500</v>
      </c>
      <c r="C9" s="8">
        <v>10000</v>
      </c>
      <c r="D9" s="8">
        <v>0</v>
      </c>
      <c r="E9" s="8">
        <v>0</v>
      </c>
      <c r="F9" s="8"/>
      <c r="G9" s="8">
        <v>-125.33</v>
      </c>
      <c r="H9" s="8">
        <v>-22</v>
      </c>
      <c r="I9" s="8">
        <v>-501.3</v>
      </c>
      <c r="J9" s="8">
        <v>-2005.2</v>
      </c>
      <c r="K9" s="8">
        <v>-3000</v>
      </c>
      <c r="L9" s="8">
        <v>0</v>
      </c>
      <c r="M9" s="8">
        <v>-884.62</v>
      </c>
      <c r="N9" s="10">
        <v>15961.549999999997</v>
      </c>
    </row>
    <row r="10" spans="1:14" ht="18" customHeight="1">
      <c r="A10" s="9" t="s">
        <v>17</v>
      </c>
      <c r="B10" s="8">
        <v>9494</v>
      </c>
      <c r="C10" s="8">
        <v>7595.2000000000007</v>
      </c>
      <c r="D10" s="8">
        <v>0</v>
      </c>
      <c r="E10" s="8">
        <v>0</v>
      </c>
      <c r="F10" s="8"/>
      <c r="G10" s="8">
        <v>-95.03</v>
      </c>
      <c r="H10" s="8">
        <v>-22</v>
      </c>
      <c r="I10" s="8">
        <v>-380.1</v>
      </c>
      <c r="J10" s="8">
        <v>-1520.4</v>
      </c>
      <c r="K10" s="8">
        <v>-2279</v>
      </c>
      <c r="L10" s="8">
        <v>0</v>
      </c>
      <c r="M10" s="8">
        <v>-38.78</v>
      </c>
      <c r="N10" s="10">
        <v>12753.890000000003</v>
      </c>
    </row>
    <row r="11" spans="1:14" ht="18" customHeight="1">
      <c r="A11" s="9" t="s">
        <v>17</v>
      </c>
      <c r="B11" s="8">
        <v>11870.5</v>
      </c>
      <c r="C11" s="8">
        <v>9496.4</v>
      </c>
      <c r="D11" s="8">
        <v>0</v>
      </c>
      <c r="E11" s="8">
        <v>0</v>
      </c>
      <c r="F11" s="8"/>
      <c r="G11" s="8">
        <v>-118.79</v>
      </c>
      <c r="H11" s="8">
        <v>-22</v>
      </c>
      <c r="I11" s="8">
        <v>-475.16</v>
      </c>
      <c r="J11" s="8">
        <v>-1900.64</v>
      </c>
      <c r="K11" s="8">
        <v>-2851</v>
      </c>
      <c r="L11" s="8">
        <v>0</v>
      </c>
      <c r="M11" s="8">
        <v>0</v>
      </c>
      <c r="N11" s="10">
        <v>15999.310000000001</v>
      </c>
    </row>
    <row r="12" spans="1:14" ht="18" customHeight="1">
      <c r="A12" s="9" t="s">
        <v>17</v>
      </c>
      <c r="B12" s="8">
        <v>11500</v>
      </c>
      <c r="C12" s="8">
        <v>9200</v>
      </c>
      <c r="D12" s="8">
        <v>0</v>
      </c>
      <c r="E12" s="8">
        <v>0</v>
      </c>
      <c r="F12" s="8"/>
      <c r="G12" s="8">
        <v>-115.97</v>
      </c>
      <c r="H12" s="8">
        <v>-22</v>
      </c>
      <c r="I12" s="8">
        <v>-463.86</v>
      </c>
      <c r="J12" s="8">
        <v>-1855.44</v>
      </c>
      <c r="K12" s="8">
        <v>-2783</v>
      </c>
      <c r="L12" s="8">
        <v>0</v>
      </c>
      <c r="M12" s="8">
        <v>-178.79</v>
      </c>
      <c r="N12" s="10">
        <v>15280.939999999999</v>
      </c>
    </row>
    <row r="13" spans="1:14" ht="18" customHeight="1">
      <c r="A13" s="9" t="s">
        <v>18</v>
      </c>
      <c r="B13" s="8">
        <v>5291.5</v>
      </c>
      <c r="C13" s="8">
        <v>3386.56</v>
      </c>
      <c r="D13" s="8">
        <v>0</v>
      </c>
      <c r="E13" s="8">
        <v>0</v>
      </c>
      <c r="F13" s="8"/>
      <c r="G13" s="8">
        <v>-53</v>
      </c>
      <c r="H13" s="8">
        <v>-22</v>
      </c>
      <c r="I13" s="8">
        <v>-212</v>
      </c>
      <c r="J13" s="8">
        <v>-848</v>
      </c>
      <c r="K13" s="8">
        <v>-1272</v>
      </c>
      <c r="L13" s="8">
        <v>0</v>
      </c>
      <c r="M13" s="8">
        <v>-38.14</v>
      </c>
      <c r="N13" s="10">
        <v>6232.9199999999992</v>
      </c>
    </row>
    <row r="14" spans="1:14" ht="18" customHeight="1">
      <c r="A14" s="9" t="s">
        <v>17</v>
      </c>
      <c r="B14" s="8">
        <v>10600</v>
      </c>
      <c r="C14" s="8">
        <v>8480</v>
      </c>
      <c r="D14" s="8">
        <v>0</v>
      </c>
      <c r="E14" s="8">
        <v>0</v>
      </c>
      <c r="F14" s="8"/>
      <c r="G14" s="8">
        <v>-125.33</v>
      </c>
      <c r="H14" s="8">
        <v>-22</v>
      </c>
      <c r="I14" s="8">
        <v>-501.3</v>
      </c>
      <c r="J14" s="8">
        <v>-2005.2</v>
      </c>
      <c r="K14" s="8">
        <v>-2539</v>
      </c>
      <c r="L14" s="8">
        <v>0</v>
      </c>
      <c r="M14" s="8">
        <v>-788.72</v>
      </c>
      <c r="N14" s="10">
        <v>13098.449999999999</v>
      </c>
    </row>
    <row r="15" spans="1:14" ht="18" customHeight="1">
      <c r="A15" s="9" t="s">
        <v>19</v>
      </c>
      <c r="B15" s="8">
        <v>4250</v>
      </c>
      <c r="C15" s="8">
        <v>3740</v>
      </c>
      <c r="D15" s="8">
        <v>0</v>
      </c>
      <c r="E15" s="8">
        <v>0</v>
      </c>
      <c r="F15" s="8"/>
      <c r="G15" s="8">
        <v>-42.5</v>
      </c>
      <c r="H15" s="8">
        <v>-22</v>
      </c>
      <c r="I15" s="8">
        <v>-170</v>
      </c>
      <c r="J15" s="8">
        <v>-680</v>
      </c>
      <c r="K15" s="8">
        <v>-1020</v>
      </c>
      <c r="L15" s="8">
        <v>0</v>
      </c>
      <c r="M15" s="8">
        <v>-31.67</v>
      </c>
      <c r="N15" s="10">
        <v>6023.83</v>
      </c>
    </row>
    <row r="16" spans="1:14" ht="18" customHeight="1">
      <c r="A16" s="9" t="s">
        <v>17</v>
      </c>
      <c r="B16" s="8">
        <v>12500</v>
      </c>
      <c r="C16" s="8">
        <v>10000</v>
      </c>
      <c r="D16" s="8">
        <v>0</v>
      </c>
      <c r="E16" s="8">
        <v>0</v>
      </c>
      <c r="F16" s="8"/>
      <c r="G16" s="8">
        <v>-125</v>
      </c>
      <c r="H16" s="8">
        <v>-22</v>
      </c>
      <c r="I16" s="8">
        <v>-500</v>
      </c>
      <c r="J16" s="8">
        <v>-2000</v>
      </c>
      <c r="K16" s="8">
        <v>-3000</v>
      </c>
      <c r="L16" s="8">
        <v>0</v>
      </c>
      <c r="M16" s="8">
        <v>-355.59</v>
      </c>
      <c r="N16" s="10">
        <v>16497.41</v>
      </c>
    </row>
    <row r="17" spans="1:14" ht="17.25" customHeight="1">
      <c r="A17" s="13" t="s">
        <v>23</v>
      </c>
      <c r="B17" s="11">
        <v>161739.5</v>
      </c>
      <c r="C17" s="11">
        <v>85052.160000000003</v>
      </c>
      <c r="D17" s="11">
        <v>6600</v>
      </c>
      <c r="E17" s="11">
        <v>1100</v>
      </c>
      <c r="F17" s="11">
        <v>0</v>
      </c>
      <c r="G17" s="11">
        <v>-1366.3</v>
      </c>
      <c r="H17" s="11">
        <v>-286</v>
      </c>
      <c r="I17" s="11">
        <v>-5465.04</v>
      </c>
      <c r="J17" s="11">
        <v>-21860.16</v>
      </c>
      <c r="K17" s="11">
        <v>-33529</v>
      </c>
      <c r="L17" s="11">
        <v>0</v>
      </c>
      <c r="M17" s="11">
        <v>-11873.910000000002</v>
      </c>
      <c r="N17" s="11">
        <v>180111.25000000003</v>
      </c>
    </row>
    <row r="19" spans="1:14" ht="16">
      <c r="F19" s="20"/>
      <c r="G19" s="20"/>
      <c r="M19" s="12"/>
      <c r="N19" s="1"/>
    </row>
    <row r="20" spans="1:14">
      <c r="M20" s="12"/>
      <c r="N20" s="1"/>
    </row>
    <row r="21" spans="1:14">
      <c r="M21" s="12"/>
      <c r="N21" s="1"/>
    </row>
    <row r="22" spans="1:14">
      <c r="M22" s="12"/>
      <c r="N22" s="1"/>
    </row>
  </sheetData>
  <mergeCells count="1">
    <mergeCell ref="F19:G19"/>
  </mergeCells>
  <phoneticPr fontId="4" type="noConversion"/>
  <pageMargins left="0.31496062992126" right="0.196850393700787" top="0.74803149606299202" bottom="0.74803149606299202" header="0.31496062992126" footer="0.31496062992126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CA0D-806F-4E97-8BEF-A682153BDF79}">
  <sheetPr>
    <tabColor rgb="FFFFC000"/>
  </sheetPr>
  <dimension ref="A1:P22"/>
  <sheetViews>
    <sheetView workbookViewId="0"/>
  </sheetViews>
  <sheetFormatPr baseColWidth="10" defaultColWidth="9" defaultRowHeight="15"/>
  <cols>
    <col min="1" max="1" width="21.33203125" style="1" bestFit="1" customWidth="1"/>
    <col min="2" max="2" width="10.5" style="1" bestFit="1" customWidth="1"/>
    <col min="3" max="3" width="8.6640625" style="1" customWidth="1"/>
    <col min="4" max="4" width="8.83203125" style="1" customWidth="1"/>
    <col min="5" max="5" width="9.83203125" style="1" customWidth="1"/>
    <col min="6" max="6" width="9.83203125" style="1" hidden="1" customWidth="1"/>
    <col min="7" max="7" width="9.5" style="1" customWidth="1"/>
    <col min="8" max="8" width="8.5" style="1" bestFit="1" customWidth="1"/>
    <col min="9" max="9" width="9.1640625" style="1" customWidth="1"/>
    <col min="10" max="10" width="11.6640625" style="1" customWidth="1"/>
    <col min="11" max="11" width="10.5" style="1" bestFit="1" customWidth="1"/>
    <col min="12" max="12" width="9" style="1" hidden="1" customWidth="1"/>
    <col min="13" max="13" width="10.5" style="1" bestFit="1" customWidth="1"/>
    <col min="14" max="14" width="16.1640625" style="12" customWidth="1"/>
    <col min="15" max="15" width="9" style="1" customWidth="1"/>
    <col min="16" max="207" width="9" style="1"/>
    <col min="208" max="208" width="6.6640625" style="1" customWidth="1"/>
    <col min="209" max="209" width="6.33203125" style="1" customWidth="1"/>
    <col min="210" max="213" width="8" style="1" customWidth="1"/>
    <col min="214" max="214" width="7.5" style="1" customWidth="1"/>
    <col min="215" max="216" width="8" style="1" customWidth="1"/>
    <col min="217" max="218" width="7.6640625" style="1" customWidth="1"/>
    <col min="219" max="219" width="9.6640625" style="1" customWidth="1"/>
    <col min="220" max="220" width="8.5" style="1" customWidth="1"/>
    <col min="221" max="221" width="7.6640625" style="1" customWidth="1"/>
    <col min="222" max="222" width="6.33203125" style="1" customWidth="1"/>
    <col min="223" max="223" width="8" style="1" customWidth="1"/>
    <col min="224" max="224" width="9.6640625" style="1" customWidth="1"/>
    <col min="225" max="225" width="8.5" style="1" customWidth="1"/>
    <col min="226" max="463" width="9" style="1"/>
    <col min="464" max="464" width="6.6640625" style="1" customWidth="1"/>
    <col min="465" max="465" width="6.33203125" style="1" customWidth="1"/>
    <col min="466" max="469" width="8" style="1" customWidth="1"/>
    <col min="470" max="470" width="7.5" style="1" customWidth="1"/>
    <col min="471" max="472" width="8" style="1" customWidth="1"/>
    <col min="473" max="474" width="7.6640625" style="1" customWidth="1"/>
    <col min="475" max="475" width="9.6640625" style="1" customWidth="1"/>
    <col min="476" max="476" width="8.5" style="1" customWidth="1"/>
    <col min="477" max="477" width="7.6640625" style="1" customWidth="1"/>
    <col min="478" max="478" width="6.33203125" style="1" customWidth="1"/>
    <col min="479" max="479" width="8" style="1" customWidth="1"/>
    <col min="480" max="480" width="9.6640625" style="1" customWidth="1"/>
    <col min="481" max="481" width="8.5" style="1" customWidth="1"/>
    <col min="482" max="719" width="9" style="1"/>
    <col min="720" max="720" width="6.6640625" style="1" customWidth="1"/>
    <col min="721" max="721" width="6.33203125" style="1" customWidth="1"/>
    <col min="722" max="725" width="8" style="1" customWidth="1"/>
    <col min="726" max="726" width="7.5" style="1" customWidth="1"/>
    <col min="727" max="728" width="8" style="1" customWidth="1"/>
    <col min="729" max="730" width="7.6640625" style="1" customWidth="1"/>
    <col min="731" max="731" width="9.6640625" style="1" customWidth="1"/>
    <col min="732" max="732" width="8.5" style="1" customWidth="1"/>
    <col min="733" max="733" width="7.6640625" style="1" customWidth="1"/>
    <col min="734" max="734" width="6.33203125" style="1" customWidth="1"/>
    <col min="735" max="735" width="8" style="1" customWidth="1"/>
    <col min="736" max="736" width="9.6640625" style="1" customWidth="1"/>
    <col min="737" max="737" width="8.5" style="1" customWidth="1"/>
    <col min="738" max="975" width="9" style="1"/>
    <col min="976" max="976" width="6.6640625" style="1" customWidth="1"/>
    <col min="977" max="977" width="6.33203125" style="1" customWidth="1"/>
    <col min="978" max="981" width="8" style="1" customWidth="1"/>
    <col min="982" max="982" width="7.5" style="1" customWidth="1"/>
    <col min="983" max="984" width="8" style="1" customWidth="1"/>
    <col min="985" max="986" width="7.6640625" style="1" customWidth="1"/>
    <col min="987" max="987" width="9.6640625" style="1" customWidth="1"/>
    <col min="988" max="988" width="8.5" style="1" customWidth="1"/>
    <col min="989" max="989" width="7.6640625" style="1" customWidth="1"/>
    <col min="990" max="990" width="6.33203125" style="1" customWidth="1"/>
    <col min="991" max="991" width="8" style="1" customWidth="1"/>
    <col min="992" max="992" width="9.6640625" style="1" customWidth="1"/>
    <col min="993" max="993" width="8.5" style="1" customWidth="1"/>
    <col min="994" max="1231" width="9" style="1"/>
    <col min="1232" max="1232" width="6.6640625" style="1" customWidth="1"/>
    <col min="1233" max="1233" width="6.33203125" style="1" customWidth="1"/>
    <col min="1234" max="1237" width="8" style="1" customWidth="1"/>
    <col min="1238" max="1238" width="7.5" style="1" customWidth="1"/>
    <col min="1239" max="1240" width="8" style="1" customWidth="1"/>
    <col min="1241" max="1242" width="7.6640625" style="1" customWidth="1"/>
    <col min="1243" max="1243" width="9.6640625" style="1" customWidth="1"/>
    <col min="1244" max="1244" width="8.5" style="1" customWidth="1"/>
    <col min="1245" max="1245" width="7.6640625" style="1" customWidth="1"/>
    <col min="1246" max="1246" width="6.33203125" style="1" customWidth="1"/>
    <col min="1247" max="1247" width="8" style="1" customWidth="1"/>
    <col min="1248" max="1248" width="9.6640625" style="1" customWidth="1"/>
    <col min="1249" max="1249" width="8.5" style="1" customWidth="1"/>
    <col min="1250" max="1487" width="9" style="1"/>
    <col min="1488" max="1488" width="6.6640625" style="1" customWidth="1"/>
    <col min="1489" max="1489" width="6.33203125" style="1" customWidth="1"/>
    <col min="1490" max="1493" width="8" style="1" customWidth="1"/>
    <col min="1494" max="1494" width="7.5" style="1" customWidth="1"/>
    <col min="1495" max="1496" width="8" style="1" customWidth="1"/>
    <col min="1497" max="1498" width="7.6640625" style="1" customWidth="1"/>
    <col min="1499" max="1499" width="9.6640625" style="1" customWidth="1"/>
    <col min="1500" max="1500" width="8.5" style="1" customWidth="1"/>
    <col min="1501" max="1501" width="7.6640625" style="1" customWidth="1"/>
    <col min="1502" max="1502" width="6.33203125" style="1" customWidth="1"/>
    <col min="1503" max="1503" width="8" style="1" customWidth="1"/>
    <col min="1504" max="1504" width="9.6640625" style="1" customWidth="1"/>
    <col min="1505" max="1505" width="8.5" style="1" customWidth="1"/>
    <col min="1506" max="1743" width="9" style="1"/>
    <col min="1744" max="1744" width="6.6640625" style="1" customWidth="1"/>
    <col min="1745" max="1745" width="6.33203125" style="1" customWidth="1"/>
    <col min="1746" max="1749" width="8" style="1" customWidth="1"/>
    <col min="1750" max="1750" width="7.5" style="1" customWidth="1"/>
    <col min="1751" max="1752" width="8" style="1" customWidth="1"/>
    <col min="1753" max="1754" width="7.6640625" style="1" customWidth="1"/>
    <col min="1755" max="1755" width="9.6640625" style="1" customWidth="1"/>
    <col min="1756" max="1756" width="8.5" style="1" customWidth="1"/>
    <col min="1757" max="1757" width="7.6640625" style="1" customWidth="1"/>
    <col min="1758" max="1758" width="6.33203125" style="1" customWidth="1"/>
    <col min="1759" max="1759" width="8" style="1" customWidth="1"/>
    <col min="1760" max="1760" width="9.6640625" style="1" customWidth="1"/>
    <col min="1761" max="1761" width="8.5" style="1" customWidth="1"/>
    <col min="1762" max="1999" width="9" style="1"/>
    <col min="2000" max="2000" width="6.6640625" style="1" customWidth="1"/>
    <col min="2001" max="2001" width="6.33203125" style="1" customWidth="1"/>
    <col min="2002" max="2005" width="8" style="1" customWidth="1"/>
    <col min="2006" max="2006" width="7.5" style="1" customWidth="1"/>
    <col min="2007" max="2008" width="8" style="1" customWidth="1"/>
    <col min="2009" max="2010" width="7.6640625" style="1" customWidth="1"/>
    <col min="2011" max="2011" width="9.6640625" style="1" customWidth="1"/>
    <col min="2012" max="2012" width="8.5" style="1" customWidth="1"/>
    <col min="2013" max="2013" width="7.6640625" style="1" customWidth="1"/>
    <col min="2014" max="2014" width="6.33203125" style="1" customWidth="1"/>
    <col min="2015" max="2015" width="8" style="1" customWidth="1"/>
    <col min="2016" max="2016" width="9.6640625" style="1" customWidth="1"/>
    <col min="2017" max="2017" width="8.5" style="1" customWidth="1"/>
    <col min="2018" max="2255" width="9" style="1"/>
    <col min="2256" max="2256" width="6.6640625" style="1" customWidth="1"/>
    <col min="2257" max="2257" width="6.33203125" style="1" customWidth="1"/>
    <col min="2258" max="2261" width="8" style="1" customWidth="1"/>
    <col min="2262" max="2262" width="7.5" style="1" customWidth="1"/>
    <col min="2263" max="2264" width="8" style="1" customWidth="1"/>
    <col min="2265" max="2266" width="7.6640625" style="1" customWidth="1"/>
    <col min="2267" max="2267" width="9.6640625" style="1" customWidth="1"/>
    <col min="2268" max="2268" width="8.5" style="1" customWidth="1"/>
    <col min="2269" max="2269" width="7.6640625" style="1" customWidth="1"/>
    <col min="2270" max="2270" width="6.33203125" style="1" customWidth="1"/>
    <col min="2271" max="2271" width="8" style="1" customWidth="1"/>
    <col min="2272" max="2272" width="9.6640625" style="1" customWidth="1"/>
    <col min="2273" max="2273" width="8.5" style="1" customWidth="1"/>
    <col min="2274" max="2511" width="9" style="1"/>
    <col min="2512" max="2512" width="6.6640625" style="1" customWidth="1"/>
    <col min="2513" max="2513" width="6.33203125" style="1" customWidth="1"/>
    <col min="2514" max="2517" width="8" style="1" customWidth="1"/>
    <col min="2518" max="2518" width="7.5" style="1" customWidth="1"/>
    <col min="2519" max="2520" width="8" style="1" customWidth="1"/>
    <col min="2521" max="2522" width="7.6640625" style="1" customWidth="1"/>
    <col min="2523" max="2523" width="9.6640625" style="1" customWidth="1"/>
    <col min="2524" max="2524" width="8.5" style="1" customWidth="1"/>
    <col min="2525" max="2525" width="7.6640625" style="1" customWidth="1"/>
    <col min="2526" max="2526" width="6.33203125" style="1" customWidth="1"/>
    <col min="2527" max="2527" width="8" style="1" customWidth="1"/>
    <col min="2528" max="2528" width="9.6640625" style="1" customWidth="1"/>
    <col min="2529" max="2529" width="8.5" style="1" customWidth="1"/>
    <col min="2530" max="2767" width="9" style="1"/>
    <col min="2768" max="2768" width="6.6640625" style="1" customWidth="1"/>
    <col min="2769" max="2769" width="6.33203125" style="1" customWidth="1"/>
    <col min="2770" max="2773" width="8" style="1" customWidth="1"/>
    <col min="2774" max="2774" width="7.5" style="1" customWidth="1"/>
    <col min="2775" max="2776" width="8" style="1" customWidth="1"/>
    <col min="2777" max="2778" width="7.6640625" style="1" customWidth="1"/>
    <col min="2779" max="2779" width="9.6640625" style="1" customWidth="1"/>
    <col min="2780" max="2780" width="8.5" style="1" customWidth="1"/>
    <col min="2781" max="2781" width="7.6640625" style="1" customWidth="1"/>
    <col min="2782" max="2782" width="6.33203125" style="1" customWidth="1"/>
    <col min="2783" max="2783" width="8" style="1" customWidth="1"/>
    <col min="2784" max="2784" width="9.6640625" style="1" customWidth="1"/>
    <col min="2785" max="2785" width="8.5" style="1" customWidth="1"/>
    <col min="2786" max="3023" width="9" style="1"/>
    <col min="3024" max="3024" width="6.6640625" style="1" customWidth="1"/>
    <col min="3025" max="3025" width="6.33203125" style="1" customWidth="1"/>
    <col min="3026" max="3029" width="8" style="1" customWidth="1"/>
    <col min="3030" max="3030" width="7.5" style="1" customWidth="1"/>
    <col min="3031" max="3032" width="8" style="1" customWidth="1"/>
    <col min="3033" max="3034" width="7.6640625" style="1" customWidth="1"/>
    <col min="3035" max="3035" width="9.6640625" style="1" customWidth="1"/>
    <col min="3036" max="3036" width="8.5" style="1" customWidth="1"/>
    <col min="3037" max="3037" width="7.6640625" style="1" customWidth="1"/>
    <col min="3038" max="3038" width="6.33203125" style="1" customWidth="1"/>
    <col min="3039" max="3039" width="8" style="1" customWidth="1"/>
    <col min="3040" max="3040" width="9.6640625" style="1" customWidth="1"/>
    <col min="3041" max="3041" width="8.5" style="1" customWidth="1"/>
    <col min="3042" max="3279" width="9" style="1"/>
    <col min="3280" max="3280" width="6.6640625" style="1" customWidth="1"/>
    <col min="3281" max="3281" width="6.33203125" style="1" customWidth="1"/>
    <col min="3282" max="3285" width="8" style="1" customWidth="1"/>
    <col min="3286" max="3286" width="7.5" style="1" customWidth="1"/>
    <col min="3287" max="3288" width="8" style="1" customWidth="1"/>
    <col min="3289" max="3290" width="7.6640625" style="1" customWidth="1"/>
    <col min="3291" max="3291" width="9.6640625" style="1" customWidth="1"/>
    <col min="3292" max="3292" width="8.5" style="1" customWidth="1"/>
    <col min="3293" max="3293" width="7.6640625" style="1" customWidth="1"/>
    <col min="3294" max="3294" width="6.33203125" style="1" customWidth="1"/>
    <col min="3295" max="3295" width="8" style="1" customWidth="1"/>
    <col min="3296" max="3296" width="9.6640625" style="1" customWidth="1"/>
    <col min="3297" max="3297" width="8.5" style="1" customWidth="1"/>
    <col min="3298" max="3535" width="9" style="1"/>
    <col min="3536" max="3536" width="6.6640625" style="1" customWidth="1"/>
    <col min="3537" max="3537" width="6.33203125" style="1" customWidth="1"/>
    <col min="3538" max="3541" width="8" style="1" customWidth="1"/>
    <col min="3542" max="3542" width="7.5" style="1" customWidth="1"/>
    <col min="3543" max="3544" width="8" style="1" customWidth="1"/>
    <col min="3545" max="3546" width="7.6640625" style="1" customWidth="1"/>
    <col min="3547" max="3547" width="9.6640625" style="1" customWidth="1"/>
    <col min="3548" max="3548" width="8.5" style="1" customWidth="1"/>
    <col min="3549" max="3549" width="7.6640625" style="1" customWidth="1"/>
    <col min="3550" max="3550" width="6.33203125" style="1" customWidth="1"/>
    <col min="3551" max="3551" width="8" style="1" customWidth="1"/>
    <col min="3552" max="3552" width="9.6640625" style="1" customWidth="1"/>
    <col min="3553" max="3553" width="8.5" style="1" customWidth="1"/>
    <col min="3554" max="3791" width="9" style="1"/>
    <col min="3792" max="3792" width="6.6640625" style="1" customWidth="1"/>
    <col min="3793" max="3793" width="6.33203125" style="1" customWidth="1"/>
    <col min="3794" max="3797" width="8" style="1" customWidth="1"/>
    <col min="3798" max="3798" width="7.5" style="1" customWidth="1"/>
    <col min="3799" max="3800" width="8" style="1" customWidth="1"/>
    <col min="3801" max="3802" width="7.6640625" style="1" customWidth="1"/>
    <col min="3803" max="3803" width="9.6640625" style="1" customWidth="1"/>
    <col min="3804" max="3804" width="8.5" style="1" customWidth="1"/>
    <col min="3805" max="3805" width="7.6640625" style="1" customWidth="1"/>
    <col min="3806" max="3806" width="6.33203125" style="1" customWidth="1"/>
    <col min="3807" max="3807" width="8" style="1" customWidth="1"/>
    <col min="3808" max="3808" width="9.6640625" style="1" customWidth="1"/>
    <col min="3809" max="3809" width="8.5" style="1" customWidth="1"/>
    <col min="3810" max="4047" width="9" style="1"/>
    <col min="4048" max="4048" width="6.6640625" style="1" customWidth="1"/>
    <col min="4049" max="4049" width="6.33203125" style="1" customWidth="1"/>
    <col min="4050" max="4053" width="8" style="1" customWidth="1"/>
    <col min="4054" max="4054" width="7.5" style="1" customWidth="1"/>
    <col min="4055" max="4056" width="8" style="1" customWidth="1"/>
    <col min="4057" max="4058" width="7.6640625" style="1" customWidth="1"/>
    <col min="4059" max="4059" width="9.6640625" style="1" customWidth="1"/>
    <col min="4060" max="4060" width="8.5" style="1" customWidth="1"/>
    <col min="4061" max="4061" width="7.6640625" style="1" customWidth="1"/>
    <col min="4062" max="4062" width="6.33203125" style="1" customWidth="1"/>
    <col min="4063" max="4063" width="8" style="1" customWidth="1"/>
    <col min="4064" max="4064" width="9.6640625" style="1" customWidth="1"/>
    <col min="4065" max="4065" width="8.5" style="1" customWidth="1"/>
    <col min="4066" max="4303" width="9" style="1"/>
    <col min="4304" max="4304" width="6.6640625" style="1" customWidth="1"/>
    <col min="4305" max="4305" width="6.33203125" style="1" customWidth="1"/>
    <col min="4306" max="4309" width="8" style="1" customWidth="1"/>
    <col min="4310" max="4310" width="7.5" style="1" customWidth="1"/>
    <col min="4311" max="4312" width="8" style="1" customWidth="1"/>
    <col min="4313" max="4314" width="7.6640625" style="1" customWidth="1"/>
    <col min="4315" max="4315" width="9.6640625" style="1" customWidth="1"/>
    <col min="4316" max="4316" width="8.5" style="1" customWidth="1"/>
    <col min="4317" max="4317" width="7.6640625" style="1" customWidth="1"/>
    <col min="4318" max="4318" width="6.33203125" style="1" customWidth="1"/>
    <col min="4319" max="4319" width="8" style="1" customWidth="1"/>
    <col min="4320" max="4320" width="9.6640625" style="1" customWidth="1"/>
    <col min="4321" max="4321" width="8.5" style="1" customWidth="1"/>
    <col min="4322" max="4559" width="9" style="1"/>
    <col min="4560" max="4560" width="6.6640625" style="1" customWidth="1"/>
    <col min="4561" max="4561" width="6.33203125" style="1" customWidth="1"/>
    <col min="4562" max="4565" width="8" style="1" customWidth="1"/>
    <col min="4566" max="4566" width="7.5" style="1" customWidth="1"/>
    <col min="4567" max="4568" width="8" style="1" customWidth="1"/>
    <col min="4569" max="4570" width="7.6640625" style="1" customWidth="1"/>
    <col min="4571" max="4571" width="9.6640625" style="1" customWidth="1"/>
    <col min="4572" max="4572" width="8.5" style="1" customWidth="1"/>
    <col min="4573" max="4573" width="7.6640625" style="1" customWidth="1"/>
    <col min="4574" max="4574" width="6.33203125" style="1" customWidth="1"/>
    <col min="4575" max="4575" width="8" style="1" customWidth="1"/>
    <col min="4576" max="4576" width="9.6640625" style="1" customWidth="1"/>
    <col min="4577" max="4577" width="8.5" style="1" customWidth="1"/>
    <col min="4578" max="4815" width="9" style="1"/>
    <col min="4816" max="4816" width="6.6640625" style="1" customWidth="1"/>
    <col min="4817" max="4817" width="6.33203125" style="1" customWidth="1"/>
    <col min="4818" max="4821" width="8" style="1" customWidth="1"/>
    <col min="4822" max="4822" width="7.5" style="1" customWidth="1"/>
    <col min="4823" max="4824" width="8" style="1" customWidth="1"/>
    <col min="4825" max="4826" width="7.6640625" style="1" customWidth="1"/>
    <col min="4827" max="4827" width="9.6640625" style="1" customWidth="1"/>
    <col min="4828" max="4828" width="8.5" style="1" customWidth="1"/>
    <col min="4829" max="4829" width="7.6640625" style="1" customWidth="1"/>
    <col min="4830" max="4830" width="6.33203125" style="1" customWidth="1"/>
    <col min="4831" max="4831" width="8" style="1" customWidth="1"/>
    <col min="4832" max="4832" width="9.6640625" style="1" customWidth="1"/>
    <col min="4833" max="4833" width="8.5" style="1" customWidth="1"/>
    <col min="4834" max="5071" width="9" style="1"/>
    <col min="5072" max="5072" width="6.6640625" style="1" customWidth="1"/>
    <col min="5073" max="5073" width="6.33203125" style="1" customWidth="1"/>
    <col min="5074" max="5077" width="8" style="1" customWidth="1"/>
    <col min="5078" max="5078" width="7.5" style="1" customWidth="1"/>
    <col min="5079" max="5080" width="8" style="1" customWidth="1"/>
    <col min="5081" max="5082" width="7.6640625" style="1" customWidth="1"/>
    <col min="5083" max="5083" width="9.6640625" style="1" customWidth="1"/>
    <col min="5084" max="5084" width="8.5" style="1" customWidth="1"/>
    <col min="5085" max="5085" width="7.6640625" style="1" customWidth="1"/>
    <col min="5086" max="5086" width="6.33203125" style="1" customWidth="1"/>
    <col min="5087" max="5087" width="8" style="1" customWidth="1"/>
    <col min="5088" max="5088" width="9.6640625" style="1" customWidth="1"/>
    <col min="5089" max="5089" width="8.5" style="1" customWidth="1"/>
    <col min="5090" max="5327" width="9" style="1"/>
    <col min="5328" max="5328" width="6.6640625" style="1" customWidth="1"/>
    <col min="5329" max="5329" width="6.33203125" style="1" customWidth="1"/>
    <col min="5330" max="5333" width="8" style="1" customWidth="1"/>
    <col min="5334" max="5334" width="7.5" style="1" customWidth="1"/>
    <col min="5335" max="5336" width="8" style="1" customWidth="1"/>
    <col min="5337" max="5338" width="7.6640625" style="1" customWidth="1"/>
    <col min="5339" max="5339" width="9.6640625" style="1" customWidth="1"/>
    <col min="5340" max="5340" width="8.5" style="1" customWidth="1"/>
    <col min="5341" max="5341" width="7.6640625" style="1" customWidth="1"/>
    <col min="5342" max="5342" width="6.33203125" style="1" customWidth="1"/>
    <col min="5343" max="5343" width="8" style="1" customWidth="1"/>
    <col min="5344" max="5344" width="9.6640625" style="1" customWidth="1"/>
    <col min="5345" max="5345" width="8.5" style="1" customWidth="1"/>
    <col min="5346" max="5583" width="9" style="1"/>
    <col min="5584" max="5584" width="6.6640625" style="1" customWidth="1"/>
    <col min="5585" max="5585" width="6.33203125" style="1" customWidth="1"/>
    <col min="5586" max="5589" width="8" style="1" customWidth="1"/>
    <col min="5590" max="5590" width="7.5" style="1" customWidth="1"/>
    <col min="5591" max="5592" width="8" style="1" customWidth="1"/>
    <col min="5593" max="5594" width="7.6640625" style="1" customWidth="1"/>
    <col min="5595" max="5595" width="9.6640625" style="1" customWidth="1"/>
    <col min="5596" max="5596" width="8.5" style="1" customWidth="1"/>
    <col min="5597" max="5597" width="7.6640625" style="1" customWidth="1"/>
    <col min="5598" max="5598" width="6.33203125" style="1" customWidth="1"/>
    <col min="5599" max="5599" width="8" style="1" customWidth="1"/>
    <col min="5600" max="5600" width="9.6640625" style="1" customWidth="1"/>
    <col min="5601" max="5601" width="8.5" style="1" customWidth="1"/>
    <col min="5602" max="5839" width="9" style="1"/>
    <col min="5840" max="5840" width="6.6640625" style="1" customWidth="1"/>
    <col min="5841" max="5841" width="6.33203125" style="1" customWidth="1"/>
    <col min="5842" max="5845" width="8" style="1" customWidth="1"/>
    <col min="5846" max="5846" width="7.5" style="1" customWidth="1"/>
    <col min="5847" max="5848" width="8" style="1" customWidth="1"/>
    <col min="5849" max="5850" width="7.6640625" style="1" customWidth="1"/>
    <col min="5851" max="5851" width="9.6640625" style="1" customWidth="1"/>
    <col min="5852" max="5852" width="8.5" style="1" customWidth="1"/>
    <col min="5853" max="5853" width="7.6640625" style="1" customWidth="1"/>
    <col min="5854" max="5854" width="6.33203125" style="1" customWidth="1"/>
    <col min="5855" max="5855" width="8" style="1" customWidth="1"/>
    <col min="5856" max="5856" width="9.6640625" style="1" customWidth="1"/>
    <col min="5857" max="5857" width="8.5" style="1" customWidth="1"/>
    <col min="5858" max="6095" width="9" style="1"/>
    <col min="6096" max="6096" width="6.6640625" style="1" customWidth="1"/>
    <col min="6097" max="6097" width="6.33203125" style="1" customWidth="1"/>
    <col min="6098" max="6101" width="8" style="1" customWidth="1"/>
    <col min="6102" max="6102" width="7.5" style="1" customWidth="1"/>
    <col min="6103" max="6104" width="8" style="1" customWidth="1"/>
    <col min="6105" max="6106" width="7.6640625" style="1" customWidth="1"/>
    <col min="6107" max="6107" width="9.6640625" style="1" customWidth="1"/>
    <col min="6108" max="6108" width="8.5" style="1" customWidth="1"/>
    <col min="6109" max="6109" width="7.6640625" style="1" customWidth="1"/>
    <col min="6110" max="6110" width="6.33203125" style="1" customWidth="1"/>
    <col min="6111" max="6111" width="8" style="1" customWidth="1"/>
    <col min="6112" max="6112" width="9.6640625" style="1" customWidth="1"/>
    <col min="6113" max="6113" width="8.5" style="1" customWidth="1"/>
    <col min="6114" max="6351" width="9" style="1"/>
    <col min="6352" max="6352" width="6.6640625" style="1" customWidth="1"/>
    <col min="6353" max="6353" width="6.33203125" style="1" customWidth="1"/>
    <col min="6354" max="6357" width="8" style="1" customWidth="1"/>
    <col min="6358" max="6358" width="7.5" style="1" customWidth="1"/>
    <col min="6359" max="6360" width="8" style="1" customWidth="1"/>
    <col min="6361" max="6362" width="7.6640625" style="1" customWidth="1"/>
    <col min="6363" max="6363" width="9.6640625" style="1" customWidth="1"/>
    <col min="6364" max="6364" width="8.5" style="1" customWidth="1"/>
    <col min="6365" max="6365" width="7.6640625" style="1" customWidth="1"/>
    <col min="6366" max="6366" width="6.33203125" style="1" customWidth="1"/>
    <col min="6367" max="6367" width="8" style="1" customWidth="1"/>
    <col min="6368" max="6368" width="9.6640625" style="1" customWidth="1"/>
    <col min="6369" max="6369" width="8.5" style="1" customWidth="1"/>
    <col min="6370" max="6607" width="9" style="1"/>
    <col min="6608" max="6608" width="6.6640625" style="1" customWidth="1"/>
    <col min="6609" max="6609" width="6.33203125" style="1" customWidth="1"/>
    <col min="6610" max="6613" width="8" style="1" customWidth="1"/>
    <col min="6614" max="6614" width="7.5" style="1" customWidth="1"/>
    <col min="6615" max="6616" width="8" style="1" customWidth="1"/>
    <col min="6617" max="6618" width="7.6640625" style="1" customWidth="1"/>
    <col min="6619" max="6619" width="9.6640625" style="1" customWidth="1"/>
    <col min="6620" max="6620" width="8.5" style="1" customWidth="1"/>
    <col min="6621" max="6621" width="7.6640625" style="1" customWidth="1"/>
    <col min="6622" max="6622" width="6.33203125" style="1" customWidth="1"/>
    <col min="6623" max="6623" width="8" style="1" customWidth="1"/>
    <col min="6624" max="6624" width="9.6640625" style="1" customWidth="1"/>
    <col min="6625" max="6625" width="8.5" style="1" customWidth="1"/>
    <col min="6626" max="6863" width="9" style="1"/>
    <col min="6864" max="6864" width="6.6640625" style="1" customWidth="1"/>
    <col min="6865" max="6865" width="6.33203125" style="1" customWidth="1"/>
    <col min="6866" max="6869" width="8" style="1" customWidth="1"/>
    <col min="6870" max="6870" width="7.5" style="1" customWidth="1"/>
    <col min="6871" max="6872" width="8" style="1" customWidth="1"/>
    <col min="6873" max="6874" width="7.6640625" style="1" customWidth="1"/>
    <col min="6875" max="6875" width="9.6640625" style="1" customWidth="1"/>
    <col min="6876" max="6876" width="8.5" style="1" customWidth="1"/>
    <col min="6877" max="6877" width="7.6640625" style="1" customWidth="1"/>
    <col min="6878" max="6878" width="6.33203125" style="1" customWidth="1"/>
    <col min="6879" max="6879" width="8" style="1" customWidth="1"/>
    <col min="6880" max="6880" width="9.6640625" style="1" customWidth="1"/>
    <col min="6881" max="6881" width="8.5" style="1" customWidth="1"/>
    <col min="6882" max="7119" width="9" style="1"/>
    <col min="7120" max="7120" width="6.6640625" style="1" customWidth="1"/>
    <col min="7121" max="7121" width="6.33203125" style="1" customWidth="1"/>
    <col min="7122" max="7125" width="8" style="1" customWidth="1"/>
    <col min="7126" max="7126" width="7.5" style="1" customWidth="1"/>
    <col min="7127" max="7128" width="8" style="1" customWidth="1"/>
    <col min="7129" max="7130" width="7.6640625" style="1" customWidth="1"/>
    <col min="7131" max="7131" width="9.6640625" style="1" customWidth="1"/>
    <col min="7132" max="7132" width="8.5" style="1" customWidth="1"/>
    <col min="7133" max="7133" width="7.6640625" style="1" customWidth="1"/>
    <col min="7134" max="7134" width="6.33203125" style="1" customWidth="1"/>
    <col min="7135" max="7135" width="8" style="1" customWidth="1"/>
    <col min="7136" max="7136" width="9.6640625" style="1" customWidth="1"/>
    <col min="7137" max="7137" width="8.5" style="1" customWidth="1"/>
    <col min="7138" max="7375" width="9" style="1"/>
    <col min="7376" max="7376" width="6.6640625" style="1" customWidth="1"/>
    <col min="7377" max="7377" width="6.33203125" style="1" customWidth="1"/>
    <col min="7378" max="7381" width="8" style="1" customWidth="1"/>
    <col min="7382" max="7382" width="7.5" style="1" customWidth="1"/>
    <col min="7383" max="7384" width="8" style="1" customWidth="1"/>
    <col min="7385" max="7386" width="7.6640625" style="1" customWidth="1"/>
    <col min="7387" max="7387" width="9.6640625" style="1" customWidth="1"/>
    <col min="7388" max="7388" width="8.5" style="1" customWidth="1"/>
    <col min="7389" max="7389" width="7.6640625" style="1" customWidth="1"/>
    <col min="7390" max="7390" width="6.33203125" style="1" customWidth="1"/>
    <col min="7391" max="7391" width="8" style="1" customWidth="1"/>
    <col min="7392" max="7392" width="9.6640625" style="1" customWidth="1"/>
    <col min="7393" max="7393" width="8.5" style="1" customWidth="1"/>
    <col min="7394" max="7631" width="9" style="1"/>
    <col min="7632" max="7632" width="6.6640625" style="1" customWidth="1"/>
    <col min="7633" max="7633" width="6.33203125" style="1" customWidth="1"/>
    <col min="7634" max="7637" width="8" style="1" customWidth="1"/>
    <col min="7638" max="7638" width="7.5" style="1" customWidth="1"/>
    <col min="7639" max="7640" width="8" style="1" customWidth="1"/>
    <col min="7641" max="7642" width="7.6640625" style="1" customWidth="1"/>
    <col min="7643" max="7643" width="9.6640625" style="1" customWidth="1"/>
    <col min="7644" max="7644" width="8.5" style="1" customWidth="1"/>
    <col min="7645" max="7645" width="7.6640625" style="1" customWidth="1"/>
    <col min="7646" max="7646" width="6.33203125" style="1" customWidth="1"/>
    <col min="7647" max="7647" width="8" style="1" customWidth="1"/>
    <col min="7648" max="7648" width="9.6640625" style="1" customWidth="1"/>
    <col min="7649" max="7649" width="8.5" style="1" customWidth="1"/>
    <col min="7650" max="7887" width="9" style="1"/>
    <col min="7888" max="7888" width="6.6640625" style="1" customWidth="1"/>
    <col min="7889" max="7889" width="6.33203125" style="1" customWidth="1"/>
    <col min="7890" max="7893" width="8" style="1" customWidth="1"/>
    <col min="7894" max="7894" width="7.5" style="1" customWidth="1"/>
    <col min="7895" max="7896" width="8" style="1" customWidth="1"/>
    <col min="7897" max="7898" width="7.6640625" style="1" customWidth="1"/>
    <col min="7899" max="7899" width="9.6640625" style="1" customWidth="1"/>
    <col min="7900" max="7900" width="8.5" style="1" customWidth="1"/>
    <col min="7901" max="7901" width="7.6640625" style="1" customWidth="1"/>
    <col min="7902" max="7902" width="6.33203125" style="1" customWidth="1"/>
    <col min="7903" max="7903" width="8" style="1" customWidth="1"/>
    <col min="7904" max="7904" width="9.6640625" style="1" customWidth="1"/>
    <col min="7905" max="7905" width="8.5" style="1" customWidth="1"/>
    <col min="7906" max="8143" width="9" style="1"/>
    <col min="8144" max="8144" width="6.6640625" style="1" customWidth="1"/>
    <col min="8145" max="8145" width="6.33203125" style="1" customWidth="1"/>
    <col min="8146" max="8149" width="8" style="1" customWidth="1"/>
    <col min="8150" max="8150" width="7.5" style="1" customWidth="1"/>
    <col min="8151" max="8152" width="8" style="1" customWidth="1"/>
    <col min="8153" max="8154" width="7.6640625" style="1" customWidth="1"/>
    <col min="8155" max="8155" width="9.6640625" style="1" customWidth="1"/>
    <col min="8156" max="8156" width="8.5" style="1" customWidth="1"/>
    <col min="8157" max="8157" width="7.6640625" style="1" customWidth="1"/>
    <col min="8158" max="8158" width="6.33203125" style="1" customWidth="1"/>
    <col min="8159" max="8159" width="8" style="1" customWidth="1"/>
    <col min="8160" max="8160" width="9.6640625" style="1" customWidth="1"/>
    <col min="8161" max="8161" width="8.5" style="1" customWidth="1"/>
    <col min="8162" max="8399" width="9" style="1"/>
    <col min="8400" max="8400" width="6.6640625" style="1" customWidth="1"/>
    <col min="8401" max="8401" width="6.33203125" style="1" customWidth="1"/>
    <col min="8402" max="8405" width="8" style="1" customWidth="1"/>
    <col min="8406" max="8406" width="7.5" style="1" customWidth="1"/>
    <col min="8407" max="8408" width="8" style="1" customWidth="1"/>
    <col min="8409" max="8410" width="7.6640625" style="1" customWidth="1"/>
    <col min="8411" max="8411" width="9.6640625" style="1" customWidth="1"/>
    <col min="8412" max="8412" width="8.5" style="1" customWidth="1"/>
    <col min="8413" max="8413" width="7.6640625" style="1" customWidth="1"/>
    <col min="8414" max="8414" width="6.33203125" style="1" customWidth="1"/>
    <col min="8415" max="8415" width="8" style="1" customWidth="1"/>
    <col min="8416" max="8416" width="9.6640625" style="1" customWidth="1"/>
    <col min="8417" max="8417" width="8.5" style="1" customWidth="1"/>
    <col min="8418" max="8655" width="9" style="1"/>
    <col min="8656" max="8656" width="6.6640625" style="1" customWidth="1"/>
    <col min="8657" max="8657" width="6.33203125" style="1" customWidth="1"/>
    <col min="8658" max="8661" width="8" style="1" customWidth="1"/>
    <col min="8662" max="8662" width="7.5" style="1" customWidth="1"/>
    <col min="8663" max="8664" width="8" style="1" customWidth="1"/>
    <col min="8665" max="8666" width="7.6640625" style="1" customWidth="1"/>
    <col min="8667" max="8667" width="9.6640625" style="1" customWidth="1"/>
    <col min="8668" max="8668" width="8.5" style="1" customWidth="1"/>
    <col min="8669" max="8669" width="7.6640625" style="1" customWidth="1"/>
    <col min="8670" max="8670" width="6.33203125" style="1" customWidth="1"/>
    <col min="8671" max="8671" width="8" style="1" customWidth="1"/>
    <col min="8672" max="8672" width="9.6640625" style="1" customWidth="1"/>
    <col min="8673" max="8673" width="8.5" style="1" customWidth="1"/>
    <col min="8674" max="8911" width="9" style="1"/>
    <col min="8912" max="8912" width="6.6640625" style="1" customWidth="1"/>
    <col min="8913" max="8913" width="6.33203125" style="1" customWidth="1"/>
    <col min="8914" max="8917" width="8" style="1" customWidth="1"/>
    <col min="8918" max="8918" width="7.5" style="1" customWidth="1"/>
    <col min="8919" max="8920" width="8" style="1" customWidth="1"/>
    <col min="8921" max="8922" width="7.6640625" style="1" customWidth="1"/>
    <col min="8923" max="8923" width="9.6640625" style="1" customWidth="1"/>
    <col min="8924" max="8924" width="8.5" style="1" customWidth="1"/>
    <col min="8925" max="8925" width="7.6640625" style="1" customWidth="1"/>
    <col min="8926" max="8926" width="6.33203125" style="1" customWidth="1"/>
    <col min="8927" max="8927" width="8" style="1" customWidth="1"/>
    <col min="8928" max="8928" width="9.6640625" style="1" customWidth="1"/>
    <col min="8929" max="8929" width="8.5" style="1" customWidth="1"/>
    <col min="8930" max="9167" width="9" style="1"/>
    <col min="9168" max="9168" width="6.6640625" style="1" customWidth="1"/>
    <col min="9169" max="9169" width="6.33203125" style="1" customWidth="1"/>
    <col min="9170" max="9173" width="8" style="1" customWidth="1"/>
    <col min="9174" max="9174" width="7.5" style="1" customWidth="1"/>
    <col min="9175" max="9176" width="8" style="1" customWidth="1"/>
    <col min="9177" max="9178" width="7.6640625" style="1" customWidth="1"/>
    <col min="9179" max="9179" width="9.6640625" style="1" customWidth="1"/>
    <col min="9180" max="9180" width="8.5" style="1" customWidth="1"/>
    <col min="9181" max="9181" width="7.6640625" style="1" customWidth="1"/>
    <col min="9182" max="9182" width="6.33203125" style="1" customWidth="1"/>
    <col min="9183" max="9183" width="8" style="1" customWidth="1"/>
    <col min="9184" max="9184" width="9.6640625" style="1" customWidth="1"/>
    <col min="9185" max="9185" width="8.5" style="1" customWidth="1"/>
    <col min="9186" max="9423" width="9" style="1"/>
    <col min="9424" max="9424" width="6.6640625" style="1" customWidth="1"/>
    <col min="9425" max="9425" width="6.33203125" style="1" customWidth="1"/>
    <col min="9426" max="9429" width="8" style="1" customWidth="1"/>
    <col min="9430" max="9430" width="7.5" style="1" customWidth="1"/>
    <col min="9431" max="9432" width="8" style="1" customWidth="1"/>
    <col min="9433" max="9434" width="7.6640625" style="1" customWidth="1"/>
    <col min="9435" max="9435" width="9.6640625" style="1" customWidth="1"/>
    <col min="9436" max="9436" width="8.5" style="1" customWidth="1"/>
    <col min="9437" max="9437" width="7.6640625" style="1" customWidth="1"/>
    <col min="9438" max="9438" width="6.33203125" style="1" customWidth="1"/>
    <col min="9439" max="9439" width="8" style="1" customWidth="1"/>
    <col min="9440" max="9440" width="9.6640625" style="1" customWidth="1"/>
    <col min="9441" max="9441" width="8.5" style="1" customWidth="1"/>
    <col min="9442" max="9679" width="9" style="1"/>
    <col min="9680" max="9680" width="6.6640625" style="1" customWidth="1"/>
    <col min="9681" max="9681" width="6.33203125" style="1" customWidth="1"/>
    <col min="9682" max="9685" width="8" style="1" customWidth="1"/>
    <col min="9686" max="9686" width="7.5" style="1" customWidth="1"/>
    <col min="9687" max="9688" width="8" style="1" customWidth="1"/>
    <col min="9689" max="9690" width="7.6640625" style="1" customWidth="1"/>
    <col min="9691" max="9691" width="9.6640625" style="1" customWidth="1"/>
    <col min="9692" max="9692" width="8.5" style="1" customWidth="1"/>
    <col min="9693" max="9693" width="7.6640625" style="1" customWidth="1"/>
    <col min="9694" max="9694" width="6.33203125" style="1" customWidth="1"/>
    <col min="9695" max="9695" width="8" style="1" customWidth="1"/>
    <col min="9696" max="9696" width="9.6640625" style="1" customWidth="1"/>
    <col min="9697" max="9697" width="8.5" style="1" customWidth="1"/>
    <col min="9698" max="9935" width="9" style="1"/>
    <col min="9936" max="9936" width="6.6640625" style="1" customWidth="1"/>
    <col min="9937" max="9937" width="6.33203125" style="1" customWidth="1"/>
    <col min="9938" max="9941" width="8" style="1" customWidth="1"/>
    <col min="9942" max="9942" width="7.5" style="1" customWidth="1"/>
    <col min="9943" max="9944" width="8" style="1" customWidth="1"/>
    <col min="9945" max="9946" width="7.6640625" style="1" customWidth="1"/>
    <col min="9947" max="9947" width="9.6640625" style="1" customWidth="1"/>
    <col min="9948" max="9948" width="8.5" style="1" customWidth="1"/>
    <col min="9949" max="9949" width="7.6640625" style="1" customWidth="1"/>
    <col min="9950" max="9950" width="6.33203125" style="1" customWidth="1"/>
    <col min="9951" max="9951" width="8" style="1" customWidth="1"/>
    <col min="9952" max="9952" width="9.6640625" style="1" customWidth="1"/>
    <col min="9953" max="9953" width="8.5" style="1" customWidth="1"/>
    <col min="9954" max="10191" width="9" style="1"/>
    <col min="10192" max="10192" width="6.6640625" style="1" customWidth="1"/>
    <col min="10193" max="10193" width="6.33203125" style="1" customWidth="1"/>
    <col min="10194" max="10197" width="8" style="1" customWidth="1"/>
    <col min="10198" max="10198" width="7.5" style="1" customWidth="1"/>
    <col min="10199" max="10200" width="8" style="1" customWidth="1"/>
    <col min="10201" max="10202" width="7.6640625" style="1" customWidth="1"/>
    <col min="10203" max="10203" width="9.6640625" style="1" customWidth="1"/>
    <col min="10204" max="10204" width="8.5" style="1" customWidth="1"/>
    <col min="10205" max="10205" width="7.6640625" style="1" customWidth="1"/>
    <col min="10206" max="10206" width="6.33203125" style="1" customWidth="1"/>
    <col min="10207" max="10207" width="8" style="1" customWidth="1"/>
    <col min="10208" max="10208" width="9.6640625" style="1" customWidth="1"/>
    <col min="10209" max="10209" width="8.5" style="1" customWidth="1"/>
    <col min="10210" max="10447" width="9" style="1"/>
    <col min="10448" max="10448" width="6.6640625" style="1" customWidth="1"/>
    <col min="10449" max="10449" width="6.33203125" style="1" customWidth="1"/>
    <col min="10450" max="10453" width="8" style="1" customWidth="1"/>
    <col min="10454" max="10454" width="7.5" style="1" customWidth="1"/>
    <col min="10455" max="10456" width="8" style="1" customWidth="1"/>
    <col min="10457" max="10458" width="7.6640625" style="1" customWidth="1"/>
    <col min="10459" max="10459" width="9.6640625" style="1" customWidth="1"/>
    <col min="10460" max="10460" width="8.5" style="1" customWidth="1"/>
    <col min="10461" max="10461" width="7.6640625" style="1" customWidth="1"/>
    <col min="10462" max="10462" width="6.33203125" style="1" customWidth="1"/>
    <col min="10463" max="10463" width="8" style="1" customWidth="1"/>
    <col min="10464" max="10464" width="9.6640625" style="1" customWidth="1"/>
    <col min="10465" max="10465" width="8.5" style="1" customWidth="1"/>
    <col min="10466" max="10703" width="9" style="1"/>
    <col min="10704" max="10704" width="6.6640625" style="1" customWidth="1"/>
    <col min="10705" max="10705" width="6.33203125" style="1" customWidth="1"/>
    <col min="10706" max="10709" width="8" style="1" customWidth="1"/>
    <col min="10710" max="10710" width="7.5" style="1" customWidth="1"/>
    <col min="10711" max="10712" width="8" style="1" customWidth="1"/>
    <col min="10713" max="10714" width="7.6640625" style="1" customWidth="1"/>
    <col min="10715" max="10715" width="9.6640625" style="1" customWidth="1"/>
    <col min="10716" max="10716" width="8.5" style="1" customWidth="1"/>
    <col min="10717" max="10717" width="7.6640625" style="1" customWidth="1"/>
    <col min="10718" max="10718" width="6.33203125" style="1" customWidth="1"/>
    <col min="10719" max="10719" width="8" style="1" customWidth="1"/>
    <col min="10720" max="10720" width="9.6640625" style="1" customWidth="1"/>
    <col min="10721" max="10721" width="8.5" style="1" customWidth="1"/>
    <col min="10722" max="10959" width="9" style="1"/>
    <col min="10960" max="10960" width="6.6640625" style="1" customWidth="1"/>
    <col min="10961" max="10961" width="6.33203125" style="1" customWidth="1"/>
    <col min="10962" max="10965" width="8" style="1" customWidth="1"/>
    <col min="10966" max="10966" width="7.5" style="1" customWidth="1"/>
    <col min="10967" max="10968" width="8" style="1" customWidth="1"/>
    <col min="10969" max="10970" width="7.6640625" style="1" customWidth="1"/>
    <col min="10971" max="10971" width="9.6640625" style="1" customWidth="1"/>
    <col min="10972" max="10972" width="8.5" style="1" customWidth="1"/>
    <col min="10973" max="10973" width="7.6640625" style="1" customWidth="1"/>
    <col min="10974" max="10974" width="6.33203125" style="1" customWidth="1"/>
    <col min="10975" max="10975" width="8" style="1" customWidth="1"/>
    <col min="10976" max="10976" width="9.6640625" style="1" customWidth="1"/>
    <col min="10977" max="10977" width="8.5" style="1" customWidth="1"/>
    <col min="10978" max="11215" width="9" style="1"/>
    <col min="11216" max="11216" width="6.6640625" style="1" customWidth="1"/>
    <col min="11217" max="11217" width="6.33203125" style="1" customWidth="1"/>
    <col min="11218" max="11221" width="8" style="1" customWidth="1"/>
    <col min="11222" max="11222" width="7.5" style="1" customWidth="1"/>
    <col min="11223" max="11224" width="8" style="1" customWidth="1"/>
    <col min="11225" max="11226" width="7.6640625" style="1" customWidth="1"/>
    <col min="11227" max="11227" width="9.6640625" style="1" customWidth="1"/>
    <col min="11228" max="11228" width="8.5" style="1" customWidth="1"/>
    <col min="11229" max="11229" width="7.6640625" style="1" customWidth="1"/>
    <col min="11230" max="11230" width="6.33203125" style="1" customWidth="1"/>
    <col min="11231" max="11231" width="8" style="1" customWidth="1"/>
    <col min="11232" max="11232" width="9.6640625" style="1" customWidth="1"/>
    <col min="11233" max="11233" width="8.5" style="1" customWidth="1"/>
    <col min="11234" max="11471" width="9" style="1"/>
    <col min="11472" max="11472" width="6.6640625" style="1" customWidth="1"/>
    <col min="11473" max="11473" width="6.33203125" style="1" customWidth="1"/>
    <col min="11474" max="11477" width="8" style="1" customWidth="1"/>
    <col min="11478" max="11478" width="7.5" style="1" customWidth="1"/>
    <col min="11479" max="11480" width="8" style="1" customWidth="1"/>
    <col min="11481" max="11482" width="7.6640625" style="1" customWidth="1"/>
    <col min="11483" max="11483" width="9.6640625" style="1" customWidth="1"/>
    <col min="11484" max="11484" width="8.5" style="1" customWidth="1"/>
    <col min="11485" max="11485" width="7.6640625" style="1" customWidth="1"/>
    <col min="11486" max="11486" width="6.33203125" style="1" customWidth="1"/>
    <col min="11487" max="11487" width="8" style="1" customWidth="1"/>
    <col min="11488" max="11488" width="9.6640625" style="1" customWidth="1"/>
    <col min="11489" max="11489" width="8.5" style="1" customWidth="1"/>
    <col min="11490" max="11727" width="9" style="1"/>
    <col min="11728" max="11728" width="6.6640625" style="1" customWidth="1"/>
    <col min="11729" max="11729" width="6.33203125" style="1" customWidth="1"/>
    <col min="11730" max="11733" width="8" style="1" customWidth="1"/>
    <col min="11734" max="11734" width="7.5" style="1" customWidth="1"/>
    <col min="11735" max="11736" width="8" style="1" customWidth="1"/>
    <col min="11737" max="11738" width="7.6640625" style="1" customWidth="1"/>
    <col min="11739" max="11739" width="9.6640625" style="1" customWidth="1"/>
    <col min="11740" max="11740" width="8.5" style="1" customWidth="1"/>
    <col min="11741" max="11741" width="7.6640625" style="1" customWidth="1"/>
    <col min="11742" max="11742" width="6.33203125" style="1" customWidth="1"/>
    <col min="11743" max="11743" width="8" style="1" customWidth="1"/>
    <col min="11744" max="11744" width="9.6640625" style="1" customWidth="1"/>
    <col min="11745" max="11745" width="8.5" style="1" customWidth="1"/>
    <col min="11746" max="11983" width="9" style="1"/>
    <col min="11984" max="11984" width="6.6640625" style="1" customWidth="1"/>
    <col min="11985" max="11985" width="6.33203125" style="1" customWidth="1"/>
    <col min="11986" max="11989" width="8" style="1" customWidth="1"/>
    <col min="11990" max="11990" width="7.5" style="1" customWidth="1"/>
    <col min="11991" max="11992" width="8" style="1" customWidth="1"/>
    <col min="11993" max="11994" width="7.6640625" style="1" customWidth="1"/>
    <col min="11995" max="11995" width="9.6640625" style="1" customWidth="1"/>
    <col min="11996" max="11996" width="8.5" style="1" customWidth="1"/>
    <col min="11997" max="11997" width="7.6640625" style="1" customWidth="1"/>
    <col min="11998" max="11998" width="6.33203125" style="1" customWidth="1"/>
    <col min="11999" max="11999" width="8" style="1" customWidth="1"/>
    <col min="12000" max="12000" width="9.6640625" style="1" customWidth="1"/>
    <col min="12001" max="12001" width="8.5" style="1" customWidth="1"/>
    <col min="12002" max="12239" width="9" style="1"/>
    <col min="12240" max="12240" width="6.6640625" style="1" customWidth="1"/>
    <col min="12241" max="12241" width="6.33203125" style="1" customWidth="1"/>
    <col min="12242" max="12245" width="8" style="1" customWidth="1"/>
    <col min="12246" max="12246" width="7.5" style="1" customWidth="1"/>
    <col min="12247" max="12248" width="8" style="1" customWidth="1"/>
    <col min="12249" max="12250" width="7.6640625" style="1" customWidth="1"/>
    <col min="12251" max="12251" width="9.6640625" style="1" customWidth="1"/>
    <col min="12252" max="12252" width="8.5" style="1" customWidth="1"/>
    <col min="12253" max="12253" width="7.6640625" style="1" customWidth="1"/>
    <col min="12254" max="12254" width="6.33203125" style="1" customWidth="1"/>
    <col min="12255" max="12255" width="8" style="1" customWidth="1"/>
    <col min="12256" max="12256" width="9.6640625" style="1" customWidth="1"/>
    <col min="12257" max="12257" width="8.5" style="1" customWidth="1"/>
    <col min="12258" max="12495" width="9" style="1"/>
    <col min="12496" max="12496" width="6.6640625" style="1" customWidth="1"/>
    <col min="12497" max="12497" width="6.33203125" style="1" customWidth="1"/>
    <col min="12498" max="12501" width="8" style="1" customWidth="1"/>
    <col min="12502" max="12502" width="7.5" style="1" customWidth="1"/>
    <col min="12503" max="12504" width="8" style="1" customWidth="1"/>
    <col min="12505" max="12506" width="7.6640625" style="1" customWidth="1"/>
    <col min="12507" max="12507" width="9.6640625" style="1" customWidth="1"/>
    <col min="12508" max="12508" width="8.5" style="1" customWidth="1"/>
    <col min="12509" max="12509" width="7.6640625" style="1" customWidth="1"/>
    <col min="12510" max="12510" width="6.33203125" style="1" customWidth="1"/>
    <col min="12511" max="12511" width="8" style="1" customWidth="1"/>
    <col min="12512" max="12512" width="9.6640625" style="1" customWidth="1"/>
    <col min="12513" max="12513" width="8.5" style="1" customWidth="1"/>
    <col min="12514" max="12751" width="9" style="1"/>
    <col min="12752" max="12752" width="6.6640625" style="1" customWidth="1"/>
    <col min="12753" max="12753" width="6.33203125" style="1" customWidth="1"/>
    <col min="12754" max="12757" width="8" style="1" customWidth="1"/>
    <col min="12758" max="12758" width="7.5" style="1" customWidth="1"/>
    <col min="12759" max="12760" width="8" style="1" customWidth="1"/>
    <col min="12761" max="12762" width="7.6640625" style="1" customWidth="1"/>
    <col min="12763" max="12763" width="9.6640625" style="1" customWidth="1"/>
    <col min="12764" max="12764" width="8.5" style="1" customWidth="1"/>
    <col min="12765" max="12765" width="7.6640625" style="1" customWidth="1"/>
    <col min="12766" max="12766" width="6.33203125" style="1" customWidth="1"/>
    <col min="12767" max="12767" width="8" style="1" customWidth="1"/>
    <col min="12768" max="12768" width="9.6640625" style="1" customWidth="1"/>
    <col min="12769" max="12769" width="8.5" style="1" customWidth="1"/>
    <col min="12770" max="13007" width="9" style="1"/>
    <col min="13008" max="13008" width="6.6640625" style="1" customWidth="1"/>
    <col min="13009" max="13009" width="6.33203125" style="1" customWidth="1"/>
    <col min="13010" max="13013" width="8" style="1" customWidth="1"/>
    <col min="13014" max="13014" width="7.5" style="1" customWidth="1"/>
    <col min="13015" max="13016" width="8" style="1" customWidth="1"/>
    <col min="13017" max="13018" width="7.6640625" style="1" customWidth="1"/>
    <col min="13019" max="13019" width="9.6640625" style="1" customWidth="1"/>
    <col min="13020" max="13020" width="8.5" style="1" customWidth="1"/>
    <col min="13021" max="13021" width="7.6640625" style="1" customWidth="1"/>
    <col min="13022" max="13022" width="6.33203125" style="1" customWidth="1"/>
    <col min="13023" max="13023" width="8" style="1" customWidth="1"/>
    <col min="13024" max="13024" width="9.6640625" style="1" customWidth="1"/>
    <col min="13025" max="13025" width="8.5" style="1" customWidth="1"/>
    <col min="13026" max="13263" width="9" style="1"/>
    <col min="13264" max="13264" width="6.6640625" style="1" customWidth="1"/>
    <col min="13265" max="13265" width="6.33203125" style="1" customWidth="1"/>
    <col min="13266" max="13269" width="8" style="1" customWidth="1"/>
    <col min="13270" max="13270" width="7.5" style="1" customWidth="1"/>
    <col min="13271" max="13272" width="8" style="1" customWidth="1"/>
    <col min="13273" max="13274" width="7.6640625" style="1" customWidth="1"/>
    <col min="13275" max="13275" width="9.6640625" style="1" customWidth="1"/>
    <col min="13276" max="13276" width="8.5" style="1" customWidth="1"/>
    <col min="13277" max="13277" width="7.6640625" style="1" customWidth="1"/>
    <col min="13278" max="13278" width="6.33203125" style="1" customWidth="1"/>
    <col min="13279" max="13279" width="8" style="1" customWidth="1"/>
    <col min="13280" max="13280" width="9.6640625" style="1" customWidth="1"/>
    <col min="13281" max="13281" width="8.5" style="1" customWidth="1"/>
    <col min="13282" max="13519" width="9" style="1"/>
    <col min="13520" max="13520" width="6.6640625" style="1" customWidth="1"/>
    <col min="13521" max="13521" width="6.33203125" style="1" customWidth="1"/>
    <col min="13522" max="13525" width="8" style="1" customWidth="1"/>
    <col min="13526" max="13526" width="7.5" style="1" customWidth="1"/>
    <col min="13527" max="13528" width="8" style="1" customWidth="1"/>
    <col min="13529" max="13530" width="7.6640625" style="1" customWidth="1"/>
    <col min="13531" max="13531" width="9.6640625" style="1" customWidth="1"/>
    <col min="13532" max="13532" width="8.5" style="1" customWidth="1"/>
    <col min="13533" max="13533" width="7.6640625" style="1" customWidth="1"/>
    <col min="13534" max="13534" width="6.33203125" style="1" customWidth="1"/>
    <col min="13535" max="13535" width="8" style="1" customWidth="1"/>
    <col min="13536" max="13536" width="9.6640625" style="1" customWidth="1"/>
    <col min="13537" max="13537" width="8.5" style="1" customWidth="1"/>
    <col min="13538" max="13775" width="9" style="1"/>
    <col min="13776" max="13776" width="6.6640625" style="1" customWidth="1"/>
    <col min="13777" max="13777" width="6.33203125" style="1" customWidth="1"/>
    <col min="13778" max="13781" width="8" style="1" customWidth="1"/>
    <col min="13782" max="13782" width="7.5" style="1" customWidth="1"/>
    <col min="13783" max="13784" width="8" style="1" customWidth="1"/>
    <col min="13785" max="13786" width="7.6640625" style="1" customWidth="1"/>
    <col min="13787" max="13787" width="9.6640625" style="1" customWidth="1"/>
    <col min="13788" max="13788" width="8.5" style="1" customWidth="1"/>
    <col min="13789" max="13789" width="7.6640625" style="1" customWidth="1"/>
    <col min="13790" max="13790" width="6.33203125" style="1" customWidth="1"/>
    <col min="13791" max="13791" width="8" style="1" customWidth="1"/>
    <col min="13792" max="13792" width="9.6640625" style="1" customWidth="1"/>
    <col min="13793" max="13793" width="8.5" style="1" customWidth="1"/>
    <col min="13794" max="14031" width="9" style="1"/>
    <col min="14032" max="14032" width="6.6640625" style="1" customWidth="1"/>
    <col min="14033" max="14033" width="6.33203125" style="1" customWidth="1"/>
    <col min="14034" max="14037" width="8" style="1" customWidth="1"/>
    <col min="14038" max="14038" width="7.5" style="1" customWidth="1"/>
    <col min="14039" max="14040" width="8" style="1" customWidth="1"/>
    <col min="14041" max="14042" width="7.6640625" style="1" customWidth="1"/>
    <col min="14043" max="14043" width="9.6640625" style="1" customWidth="1"/>
    <col min="14044" max="14044" width="8.5" style="1" customWidth="1"/>
    <col min="14045" max="14045" width="7.6640625" style="1" customWidth="1"/>
    <col min="14046" max="14046" width="6.33203125" style="1" customWidth="1"/>
    <col min="14047" max="14047" width="8" style="1" customWidth="1"/>
    <col min="14048" max="14048" width="9.6640625" style="1" customWidth="1"/>
    <col min="14049" max="14049" width="8.5" style="1" customWidth="1"/>
    <col min="14050" max="14287" width="9" style="1"/>
    <col min="14288" max="14288" width="6.6640625" style="1" customWidth="1"/>
    <col min="14289" max="14289" width="6.33203125" style="1" customWidth="1"/>
    <col min="14290" max="14293" width="8" style="1" customWidth="1"/>
    <col min="14294" max="14294" width="7.5" style="1" customWidth="1"/>
    <col min="14295" max="14296" width="8" style="1" customWidth="1"/>
    <col min="14297" max="14298" width="7.6640625" style="1" customWidth="1"/>
    <col min="14299" max="14299" width="9.6640625" style="1" customWidth="1"/>
    <col min="14300" max="14300" width="8.5" style="1" customWidth="1"/>
    <col min="14301" max="14301" width="7.6640625" style="1" customWidth="1"/>
    <col min="14302" max="14302" width="6.33203125" style="1" customWidth="1"/>
    <col min="14303" max="14303" width="8" style="1" customWidth="1"/>
    <col min="14304" max="14304" width="9.6640625" style="1" customWidth="1"/>
    <col min="14305" max="14305" width="8.5" style="1" customWidth="1"/>
    <col min="14306" max="14543" width="9" style="1"/>
    <col min="14544" max="14544" width="6.6640625" style="1" customWidth="1"/>
    <col min="14545" max="14545" width="6.33203125" style="1" customWidth="1"/>
    <col min="14546" max="14549" width="8" style="1" customWidth="1"/>
    <col min="14550" max="14550" width="7.5" style="1" customWidth="1"/>
    <col min="14551" max="14552" width="8" style="1" customWidth="1"/>
    <col min="14553" max="14554" width="7.6640625" style="1" customWidth="1"/>
    <col min="14555" max="14555" width="9.6640625" style="1" customWidth="1"/>
    <col min="14556" max="14556" width="8.5" style="1" customWidth="1"/>
    <col min="14557" max="14557" width="7.6640625" style="1" customWidth="1"/>
    <col min="14558" max="14558" width="6.33203125" style="1" customWidth="1"/>
    <col min="14559" max="14559" width="8" style="1" customWidth="1"/>
    <col min="14560" max="14560" width="9.6640625" style="1" customWidth="1"/>
    <col min="14561" max="14561" width="8.5" style="1" customWidth="1"/>
    <col min="14562" max="14799" width="9" style="1"/>
    <col min="14800" max="14800" width="6.6640625" style="1" customWidth="1"/>
    <col min="14801" max="14801" width="6.33203125" style="1" customWidth="1"/>
    <col min="14802" max="14805" width="8" style="1" customWidth="1"/>
    <col min="14806" max="14806" width="7.5" style="1" customWidth="1"/>
    <col min="14807" max="14808" width="8" style="1" customWidth="1"/>
    <col min="14809" max="14810" width="7.6640625" style="1" customWidth="1"/>
    <col min="14811" max="14811" width="9.6640625" style="1" customWidth="1"/>
    <col min="14812" max="14812" width="8.5" style="1" customWidth="1"/>
    <col min="14813" max="14813" width="7.6640625" style="1" customWidth="1"/>
    <col min="14814" max="14814" width="6.33203125" style="1" customWidth="1"/>
    <col min="14815" max="14815" width="8" style="1" customWidth="1"/>
    <col min="14816" max="14816" width="9.6640625" style="1" customWidth="1"/>
    <col min="14817" max="14817" width="8.5" style="1" customWidth="1"/>
    <col min="14818" max="15055" width="9" style="1"/>
    <col min="15056" max="15056" width="6.6640625" style="1" customWidth="1"/>
    <col min="15057" max="15057" width="6.33203125" style="1" customWidth="1"/>
    <col min="15058" max="15061" width="8" style="1" customWidth="1"/>
    <col min="15062" max="15062" width="7.5" style="1" customWidth="1"/>
    <col min="15063" max="15064" width="8" style="1" customWidth="1"/>
    <col min="15065" max="15066" width="7.6640625" style="1" customWidth="1"/>
    <col min="15067" max="15067" width="9.6640625" style="1" customWidth="1"/>
    <col min="15068" max="15068" width="8.5" style="1" customWidth="1"/>
    <col min="15069" max="15069" width="7.6640625" style="1" customWidth="1"/>
    <col min="15070" max="15070" width="6.33203125" style="1" customWidth="1"/>
    <col min="15071" max="15071" width="8" style="1" customWidth="1"/>
    <col min="15072" max="15072" width="9.6640625" style="1" customWidth="1"/>
    <col min="15073" max="15073" width="8.5" style="1" customWidth="1"/>
    <col min="15074" max="15311" width="9" style="1"/>
    <col min="15312" max="15312" width="6.6640625" style="1" customWidth="1"/>
    <col min="15313" max="15313" width="6.33203125" style="1" customWidth="1"/>
    <col min="15314" max="15317" width="8" style="1" customWidth="1"/>
    <col min="15318" max="15318" width="7.5" style="1" customWidth="1"/>
    <col min="15319" max="15320" width="8" style="1" customWidth="1"/>
    <col min="15321" max="15322" width="7.6640625" style="1" customWidth="1"/>
    <col min="15323" max="15323" width="9.6640625" style="1" customWidth="1"/>
    <col min="15324" max="15324" width="8.5" style="1" customWidth="1"/>
    <col min="15325" max="15325" width="7.6640625" style="1" customWidth="1"/>
    <col min="15326" max="15326" width="6.33203125" style="1" customWidth="1"/>
    <col min="15327" max="15327" width="8" style="1" customWidth="1"/>
    <col min="15328" max="15328" width="9.6640625" style="1" customWidth="1"/>
    <col min="15329" max="15329" width="8.5" style="1" customWidth="1"/>
    <col min="15330" max="15567" width="9" style="1"/>
    <col min="15568" max="15568" width="6.6640625" style="1" customWidth="1"/>
    <col min="15569" max="15569" width="6.33203125" style="1" customWidth="1"/>
    <col min="15570" max="15573" width="8" style="1" customWidth="1"/>
    <col min="15574" max="15574" width="7.5" style="1" customWidth="1"/>
    <col min="15575" max="15576" width="8" style="1" customWidth="1"/>
    <col min="15577" max="15578" width="7.6640625" style="1" customWidth="1"/>
    <col min="15579" max="15579" width="9.6640625" style="1" customWidth="1"/>
    <col min="15580" max="15580" width="8.5" style="1" customWidth="1"/>
    <col min="15581" max="15581" width="7.6640625" style="1" customWidth="1"/>
    <col min="15582" max="15582" width="6.33203125" style="1" customWidth="1"/>
    <col min="15583" max="15583" width="8" style="1" customWidth="1"/>
    <col min="15584" max="15584" width="9.6640625" style="1" customWidth="1"/>
    <col min="15585" max="15585" width="8.5" style="1" customWidth="1"/>
    <col min="15586" max="15823" width="9" style="1"/>
    <col min="15824" max="15824" width="6.6640625" style="1" customWidth="1"/>
    <col min="15825" max="15825" width="6.33203125" style="1" customWidth="1"/>
    <col min="15826" max="15829" width="8" style="1" customWidth="1"/>
    <col min="15830" max="15830" width="7.5" style="1" customWidth="1"/>
    <col min="15831" max="15832" width="8" style="1" customWidth="1"/>
    <col min="15833" max="15834" width="7.6640625" style="1" customWidth="1"/>
    <col min="15835" max="15835" width="9.6640625" style="1" customWidth="1"/>
    <col min="15836" max="15836" width="8.5" style="1" customWidth="1"/>
    <col min="15837" max="15837" width="7.6640625" style="1" customWidth="1"/>
    <col min="15838" max="15838" width="6.33203125" style="1" customWidth="1"/>
    <col min="15839" max="15839" width="8" style="1" customWidth="1"/>
    <col min="15840" max="15840" width="9.6640625" style="1" customWidth="1"/>
    <col min="15841" max="15841" width="8.5" style="1" customWidth="1"/>
    <col min="15842" max="16079" width="9" style="1"/>
    <col min="16080" max="16080" width="6.6640625" style="1" customWidth="1"/>
    <col min="16081" max="16081" width="6.33203125" style="1" customWidth="1"/>
    <col min="16082" max="16085" width="8" style="1" customWidth="1"/>
    <col min="16086" max="16086" width="7.5" style="1" customWidth="1"/>
    <col min="16087" max="16088" width="8" style="1" customWidth="1"/>
    <col min="16089" max="16090" width="7.6640625" style="1" customWidth="1"/>
    <col min="16091" max="16091" width="9.6640625" style="1" customWidth="1"/>
    <col min="16092" max="16092" width="8.5" style="1" customWidth="1"/>
    <col min="16093" max="16093" width="7.6640625" style="1" customWidth="1"/>
    <col min="16094" max="16094" width="6.33203125" style="1" customWidth="1"/>
    <col min="16095" max="16095" width="8" style="1" customWidth="1"/>
    <col min="16096" max="16096" width="9.6640625" style="1" customWidth="1"/>
    <col min="16097" max="16097" width="8.5" style="1" customWidth="1"/>
    <col min="16098" max="16384" width="9" style="1"/>
  </cols>
  <sheetData>
    <row r="1" spans="1:16" ht="33" customHeight="1">
      <c r="A1" s="14" t="s">
        <v>37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6" ht="18" customHeight="1">
      <c r="A2" s="2"/>
      <c r="B2" s="2"/>
      <c r="C2" s="2"/>
      <c r="D2" s="2"/>
      <c r="E2" s="2"/>
      <c r="F2" s="2"/>
      <c r="G2" s="2"/>
      <c r="H2" s="2"/>
      <c r="I2" s="2"/>
      <c r="J2" s="2"/>
      <c r="N2" s="3" t="s">
        <v>0</v>
      </c>
    </row>
    <row r="3" spans="1:16" s="7" customFormat="1" ht="32">
      <c r="A3" s="15" t="s">
        <v>1</v>
      </c>
      <c r="B3" s="15" t="s">
        <v>2</v>
      </c>
      <c r="C3" s="16" t="s">
        <v>3</v>
      </c>
      <c r="D3" s="15" t="s">
        <v>4</v>
      </c>
      <c r="E3" s="15" t="s">
        <v>5</v>
      </c>
      <c r="F3" s="15" t="s">
        <v>20</v>
      </c>
      <c r="G3" s="15" t="s">
        <v>8</v>
      </c>
      <c r="H3" s="15" t="s">
        <v>9</v>
      </c>
      <c r="I3" s="15" t="s">
        <v>10</v>
      </c>
      <c r="J3" s="15" t="s">
        <v>11</v>
      </c>
      <c r="K3" s="15" t="s">
        <v>12</v>
      </c>
      <c r="L3" s="15" t="s">
        <v>21</v>
      </c>
      <c r="M3" s="15" t="s">
        <v>22</v>
      </c>
      <c r="N3" s="17" t="s">
        <v>15</v>
      </c>
    </row>
    <row r="4" spans="1:16" ht="20.25" customHeight="1">
      <c r="A4" s="9" t="s">
        <v>16</v>
      </c>
      <c r="B4" s="8">
        <v>28333</v>
      </c>
      <c r="C4" s="8">
        <v>0</v>
      </c>
      <c r="D4" s="8">
        <v>3400</v>
      </c>
      <c r="E4" s="8">
        <v>600</v>
      </c>
      <c r="F4" s="8"/>
      <c r="G4" s="8">
        <v>-125.33</v>
      </c>
      <c r="H4" s="8">
        <v>-22</v>
      </c>
      <c r="I4" s="8">
        <v>-501.3</v>
      </c>
      <c r="J4" s="8">
        <v>-2005.2</v>
      </c>
      <c r="K4" s="8">
        <v>-3303</v>
      </c>
      <c r="L4" s="8">
        <v>0</v>
      </c>
      <c r="M4" s="8">
        <v>-4456.1899999999996</v>
      </c>
      <c r="N4" s="10">
        <v>21919.98</v>
      </c>
      <c r="P4" s="1">
        <f>-M4</f>
        <v>4456.1899999999996</v>
      </c>
    </row>
    <row r="5" spans="1:16" ht="18" customHeight="1">
      <c r="A5" s="9" t="s">
        <v>16</v>
      </c>
      <c r="B5" s="8">
        <v>27083</v>
      </c>
      <c r="C5" s="8">
        <v>0</v>
      </c>
      <c r="D5" s="8">
        <v>3200</v>
      </c>
      <c r="E5" s="8">
        <v>500</v>
      </c>
      <c r="F5" s="8"/>
      <c r="G5" s="8">
        <v>-125.33</v>
      </c>
      <c r="H5" s="8">
        <v>-22</v>
      </c>
      <c r="I5" s="8">
        <v>-501.3</v>
      </c>
      <c r="J5" s="8">
        <v>-2005.2</v>
      </c>
      <c r="K5" s="8">
        <v>-3294</v>
      </c>
      <c r="L5" s="8">
        <v>0</v>
      </c>
      <c r="M5" s="8">
        <v>-3867.03</v>
      </c>
      <c r="N5" s="10">
        <v>20968.14</v>
      </c>
      <c r="P5" s="1">
        <f t="shared" ref="P5:P16" si="0">-M5</f>
        <v>3867.03</v>
      </c>
    </row>
    <row r="6" spans="1:16" ht="18" customHeight="1">
      <c r="A6" s="9" t="s">
        <v>17</v>
      </c>
      <c r="B6" s="8">
        <v>10821.5</v>
      </c>
      <c r="C6" s="8">
        <v>8657.2000000000007</v>
      </c>
      <c r="D6" s="8">
        <v>0</v>
      </c>
      <c r="E6" s="8">
        <v>0</v>
      </c>
      <c r="F6" s="8"/>
      <c r="G6" s="8">
        <v>-108.3</v>
      </c>
      <c r="H6" s="8">
        <v>-22</v>
      </c>
      <c r="I6" s="8">
        <v>-433.2</v>
      </c>
      <c r="J6" s="8">
        <v>-1732.8</v>
      </c>
      <c r="K6" s="8">
        <v>-2599</v>
      </c>
      <c r="L6" s="8">
        <v>0</v>
      </c>
      <c r="M6" s="8">
        <v>-808.34</v>
      </c>
      <c r="N6" s="10">
        <v>13775.060000000001</v>
      </c>
      <c r="P6" s="1">
        <f t="shared" si="0"/>
        <v>808.34</v>
      </c>
    </row>
    <row r="7" spans="1:16" ht="18" customHeight="1">
      <c r="A7" s="9" t="s">
        <v>17</v>
      </c>
      <c r="B7" s="8">
        <v>11246</v>
      </c>
      <c r="C7" s="8">
        <v>8996.8000000000011</v>
      </c>
      <c r="D7" s="8">
        <v>0</v>
      </c>
      <c r="E7" s="8">
        <v>0</v>
      </c>
      <c r="F7" s="8"/>
      <c r="G7" s="8">
        <v>-112.55</v>
      </c>
      <c r="H7" s="8">
        <v>-22</v>
      </c>
      <c r="I7" s="8">
        <v>-450.18</v>
      </c>
      <c r="J7" s="8">
        <v>-1800.72</v>
      </c>
      <c r="K7" s="8">
        <v>-2701</v>
      </c>
      <c r="L7" s="8">
        <v>0</v>
      </c>
      <c r="M7" s="8">
        <v>-715.63</v>
      </c>
      <c r="N7" s="10">
        <v>14440.720000000003</v>
      </c>
      <c r="P7" s="1">
        <f t="shared" si="0"/>
        <v>715.63</v>
      </c>
    </row>
    <row r="8" spans="1:16" ht="18" customHeight="1">
      <c r="A8" s="9" t="s">
        <v>18</v>
      </c>
      <c r="B8" s="8">
        <v>6250</v>
      </c>
      <c r="C8" s="8">
        <v>5500.0000000000009</v>
      </c>
      <c r="D8" s="8">
        <v>0</v>
      </c>
      <c r="E8" s="8">
        <v>0</v>
      </c>
      <c r="F8" s="8"/>
      <c r="G8" s="8">
        <v>-93.84</v>
      </c>
      <c r="H8" s="8">
        <v>-22</v>
      </c>
      <c r="I8" s="8">
        <v>-375.34</v>
      </c>
      <c r="J8" s="8">
        <v>-1501.36</v>
      </c>
      <c r="K8" s="8">
        <v>-2888</v>
      </c>
      <c r="L8" s="8">
        <v>0</v>
      </c>
      <c r="M8" s="8">
        <v>0</v>
      </c>
      <c r="N8" s="10">
        <v>6869.4599999999991</v>
      </c>
      <c r="P8" s="1">
        <f t="shared" si="0"/>
        <v>0</v>
      </c>
    </row>
    <row r="9" spans="1:16" ht="18" customHeight="1">
      <c r="A9" s="9" t="s">
        <v>17</v>
      </c>
      <c r="B9" s="8">
        <v>12500</v>
      </c>
      <c r="C9" s="8">
        <v>10000</v>
      </c>
      <c r="D9" s="8">
        <v>0</v>
      </c>
      <c r="E9" s="8">
        <v>0</v>
      </c>
      <c r="F9" s="8"/>
      <c r="G9" s="8">
        <v>-125.33</v>
      </c>
      <c r="H9" s="8">
        <v>-22</v>
      </c>
      <c r="I9" s="8">
        <v>-501.3</v>
      </c>
      <c r="J9" s="8">
        <v>-2005.2</v>
      </c>
      <c r="K9" s="8">
        <v>-3000</v>
      </c>
      <c r="L9" s="8">
        <v>0</v>
      </c>
      <c r="M9" s="8">
        <v>-884.61</v>
      </c>
      <c r="N9" s="10">
        <v>15961.559999999998</v>
      </c>
      <c r="P9" s="1">
        <f t="shared" si="0"/>
        <v>884.61</v>
      </c>
    </row>
    <row r="10" spans="1:16" ht="18" customHeight="1">
      <c r="A10" s="9" t="s">
        <v>17</v>
      </c>
      <c r="B10" s="8">
        <v>9494</v>
      </c>
      <c r="C10" s="8">
        <v>7595.2000000000007</v>
      </c>
      <c r="D10" s="8">
        <v>0</v>
      </c>
      <c r="E10" s="8">
        <v>0</v>
      </c>
      <c r="F10" s="8"/>
      <c r="G10" s="8">
        <v>-95.03</v>
      </c>
      <c r="H10" s="8">
        <v>-22</v>
      </c>
      <c r="I10" s="8">
        <v>-380.1</v>
      </c>
      <c r="J10" s="8">
        <v>-1520.4</v>
      </c>
      <c r="K10" s="8">
        <v>-2279</v>
      </c>
      <c r="L10" s="8">
        <v>0</v>
      </c>
      <c r="M10" s="8">
        <v>-38.78</v>
      </c>
      <c r="N10" s="10">
        <v>12753.890000000003</v>
      </c>
      <c r="P10" s="1">
        <f t="shared" si="0"/>
        <v>38.78</v>
      </c>
    </row>
    <row r="11" spans="1:16" ht="18" customHeight="1">
      <c r="A11" s="9" t="s">
        <v>17</v>
      </c>
      <c r="B11" s="8">
        <v>11870.5</v>
      </c>
      <c r="C11" s="8">
        <v>9496.4</v>
      </c>
      <c r="D11" s="8">
        <v>0</v>
      </c>
      <c r="E11" s="8">
        <v>0</v>
      </c>
      <c r="F11" s="8"/>
      <c r="G11" s="8">
        <v>-118.79</v>
      </c>
      <c r="H11" s="8">
        <v>-22</v>
      </c>
      <c r="I11" s="8">
        <v>-475.16</v>
      </c>
      <c r="J11" s="8">
        <v>-1900.64</v>
      </c>
      <c r="K11" s="8">
        <v>-2851</v>
      </c>
      <c r="L11" s="8">
        <v>0</v>
      </c>
      <c r="M11" s="8">
        <v>0</v>
      </c>
      <c r="N11" s="10">
        <v>15999.310000000001</v>
      </c>
      <c r="P11" s="1">
        <f t="shared" si="0"/>
        <v>0</v>
      </c>
    </row>
    <row r="12" spans="1:16" ht="18" customHeight="1">
      <c r="A12" s="9" t="s">
        <v>17</v>
      </c>
      <c r="B12" s="8">
        <v>11500</v>
      </c>
      <c r="C12" s="8">
        <v>9200</v>
      </c>
      <c r="D12" s="8">
        <v>0</v>
      </c>
      <c r="E12" s="8">
        <v>0</v>
      </c>
      <c r="F12" s="8"/>
      <c r="G12" s="8">
        <v>-115.97</v>
      </c>
      <c r="H12" s="8">
        <v>-22</v>
      </c>
      <c r="I12" s="8">
        <v>-463.86</v>
      </c>
      <c r="J12" s="8">
        <v>-1855.44</v>
      </c>
      <c r="K12" s="8">
        <v>-2783</v>
      </c>
      <c r="L12" s="8">
        <v>0</v>
      </c>
      <c r="M12" s="8">
        <v>-533.02</v>
      </c>
      <c r="N12" s="10">
        <v>14926.71</v>
      </c>
      <c r="P12" s="1">
        <f t="shared" si="0"/>
        <v>533.02</v>
      </c>
    </row>
    <row r="13" spans="1:16" ht="18" customHeight="1">
      <c r="A13" s="9" t="s">
        <v>18</v>
      </c>
      <c r="B13" s="8">
        <v>2381.5</v>
      </c>
      <c r="C13" s="8">
        <v>25.5</v>
      </c>
      <c r="D13" s="8">
        <v>0</v>
      </c>
      <c r="E13" s="8">
        <v>0</v>
      </c>
      <c r="F13" s="8"/>
      <c r="G13" s="8">
        <v>-53</v>
      </c>
      <c r="H13" s="8">
        <v>-22</v>
      </c>
      <c r="I13" s="8">
        <v>-212</v>
      </c>
      <c r="J13" s="8">
        <v>-848</v>
      </c>
      <c r="K13" s="8">
        <v>-1272</v>
      </c>
      <c r="L13" s="8">
        <v>0</v>
      </c>
      <c r="M13" s="8">
        <v>0</v>
      </c>
      <c r="N13" s="10">
        <v>0</v>
      </c>
      <c r="P13" s="1">
        <f t="shared" si="0"/>
        <v>0</v>
      </c>
    </row>
    <row r="14" spans="1:16" ht="18" customHeight="1">
      <c r="A14" s="9" t="s">
        <v>17</v>
      </c>
      <c r="B14" s="8">
        <v>10600</v>
      </c>
      <c r="C14" s="8">
        <v>8480</v>
      </c>
      <c r="D14" s="8">
        <v>0</v>
      </c>
      <c r="E14" s="8">
        <v>0</v>
      </c>
      <c r="F14" s="8"/>
      <c r="G14" s="8">
        <v>-125.33</v>
      </c>
      <c r="H14" s="8">
        <v>-22</v>
      </c>
      <c r="I14" s="8">
        <v>-501.3</v>
      </c>
      <c r="J14" s="8">
        <v>-2005.2</v>
      </c>
      <c r="K14" s="8">
        <v>-2539</v>
      </c>
      <c r="L14" s="8">
        <v>0</v>
      </c>
      <c r="M14" s="8">
        <v>-788.72</v>
      </c>
      <c r="N14" s="10">
        <v>13098.449999999999</v>
      </c>
      <c r="P14" s="1">
        <f t="shared" si="0"/>
        <v>788.72</v>
      </c>
    </row>
    <row r="15" spans="1:16" ht="18" customHeight="1">
      <c r="A15" s="9" t="s">
        <v>19</v>
      </c>
      <c r="B15" s="8">
        <v>4250</v>
      </c>
      <c r="C15" s="8">
        <v>4080</v>
      </c>
      <c r="D15" s="8">
        <v>0</v>
      </c>
      <c r="E15" s="8">
        <v>0</v>
      </c>
      <c r="F15" s="8"/>
      <c r="G15" s="8">
        <v>-42.5</v>
      </c>
      <c r="H15" s="8">
        <v>-22</v>
      </c>
      <c r="I15" s="8">
        <v>-170</v>
      </c>
      <c r="J15" s="8">
        <v>-680</v>
      </c>
      <c r="K15" s="8">
        <v>-1020</v>
      </c>
      <c r="L15" s="8">
        <v>0</v>
      </c>
      <c r="M15" s="8">
        <v>-41.86</v>
      </c>
      <c r="N15" s="10">
        <v>6353.64</v>
      </c>
      <c r="P15" s="1">
        <f t="shared" si="0"/>
        <v>41.86</v>
      </c>
    </row>
    <row r="16" spans="1:16" ht="18" customHeight="1">
      <c r="A16" s="9" t="s">
        <v>17</v>
      </c>
      <c r="B16" s="8">
        <v>12500</v>
      </c>
      <c r="C16" s="8">
        <v>10000</v>
      </c>
      <c r="D16" s="8">
        <v>0</v>
      </c>
      <c r="E16" s="8">
        <v>0</v>
      </c>
      <c r="F16" s="8"/>
      <c r="G16" s="8">
        <v>-125</v>
      </c>
      <c r="H16" s="8">
        <v>-22</v>
      </c>
      <c r="I16" s="8">
        <v>-500</v>
      </c>
      <c r="J16" s="8">
        <v>-2000</v>
      </c>
      <c r="K16" s="8">
        <v>-3000</v>
      </c>
      <c r="L16" s="8">
        <v>0</v>
      </c>
      <c r="M16" s="8">
        <v>-854.49</v>
      </c>
      <c r="N16" s="10">
        <v>15998.51</v>
      </c>
      <c r="P16" s="1">
        <f t="shared" si="0"/>
        <v>854.49</v>
      </c>
    </row>
    <row r="17" spans="1:14" ht="17.25" customHeight="1">
      <c r="A17" s="13" t="s">
        <v>23</v>
      </c>
      <c r="B17" s="11">
        <v>158829.5</v>
      </c>
      <c r="C17" s="11">
        <v>82031.100000000006</v>
      </c>
      <c r="D17" s="11">
        <v>6600</v>
      </c>
      <c r="E17" s="11">
        <v>1100</v>
      </c>
      <c r="F17" s="11">
        <v>0</v>
      </c>
      <c r="G17" s="11">
        <v>-1366.3</v>
      </c>
      <c r="H17" s="11">
        <v>-286</v>
      </c>
      <c r="I17" s="11">
        <v>-5465.04</v>
      </c>
      <c r="J17" s="11">
        <v>-21860.16</v>
      </c>
      <c r="K17" s="11">
        <v>-33529</v>
      </c>
      <c r="L17" s="11">
        <v>0</v>
      </c>
      <c r="M17" s="11">
        <v>-12988.67</v>
      </c>
      <c r="N17" s="11">
        <v>173065.43000000002</v>
      </c>
    </row>
    <row r="19" spans="1:14" ht="16">
      <c r="F19" s="20"/>
      <c r="G19" s="20"/>
      <c r="M19" s="12"/>
      <c r="N19" s="1"/>
    </row>
    <row r="20" spans="1:14">
      <c r="M20" s="12"/>
      <c r="N20" s="1"/>
    </row>
    <row r="21" spans="1:14">
      <c r="M21" s="12"/>
      <c r="N21" s="1"/>
    </row>
    <row r="22" spans="1:14">
      <c r="M22" s="12"/>
      <c r="N22" s="1"/>
    </row>
  </sheetData>
  <mergeCells count="1">
    <mergeCell ref="F19:G19"/>
  </mergeCells>
  <phoneticPr fontId="4" type="noConversion"/>
  <pageMargins left="0.31496062992126" right="0.196850393700787" top="0.74803149606299202" bottom="0.74803149606299202" header="0.31496062992126" footer="0.31496062992126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3FDFF-7E9C-4E9D-A395-5FD5EE4B502B}">
  <sheetPr>
    <tabColor rgb="FFFFC000"/>
  </sheetPr>
  <dimension ref="A1:O22"/>
  <sheetViews>
    <sheetView workbookViewId="0"/>
  </sheetViews>
  <sheetFormatPr baseColWidth="10" defaultColWidth="9" defaultRowHeight="15"/>
  <cols>
    <col min="1" max="1" width="21.33203125" style="1" bestFit="1" customWidth="1"/>
    <col min="2" max="2" width="10.5" style="1" bestFit="1" customWidth="1"/>
    <col min="3" max="3" width="10.6640625" style="1" customWidth="1"/>
    <col min="4" max="4" width="8.83203125" style="1" customWidth="1"/>
    <col min="5" max="6" width="9.83203125" style="1" customWidth="1"/>
    <col min="7" max="7" width="9.5" style="1" customWidth="1"/>
    <col min="8" max="8" width="10.6640625" style="1" customWidth="1"/>
    <col min="9" max="9" width="9.1640625" style="1" customWidth="1"/>
    <col min="10" max="10" width="11.6640625" style="1" customWidth="1"/>
    <col min="11" max="11" width="10.5" style="1" bestFit="1" customWidth="1"/>
    <col min="12" max="12" width="9" style="1" hidden="1" customWidth="1"/>
    <col min="13" max="13" width="10.5" style="1" hidden="1" customWidth="1"/>
    <col min="14" max="14" width="16.1640625" style="12" customWidth="1"/>
    <col min="15" max="15" width="12.1640625" style="1" customWidth="1"/>
    <col min="16" max="206" width="9" style="1"/>
    <col min="207" max="207" width="6.6640625" style="1" customWidth="1"/>
    <col min="208" max="208" width="6.33203125" style="1" customWidth="1"/>
    <col min="209" max="212" width="8" style="1" customWidth="1"/>
    <col min="213" max="213" width="7.5" style="1" customWidth="1"/>
    <col min="214" max="215" width="8" style="1" customWidth="1"/>
    <col min="216" max="217" width="7.6640625" style="1" customWidth="1"/>
    <col min="218" max="218" width="9.6640625" style="1" customWidth="1"/>
    <col min="219" max="219" width="8.5" style="1" customWidth="1"/>
    <col min="220" max="220" width="7.6640625" style="1" customWidth="1"/>
    <col min="221" max="221" width="6.33203125" style="1" customWidth="1"/>
    <col min="222" max="222" width="8" style="1" customWidth="1"/>
    <col min="223" max="223" width="9.6640625" style="1" customWidth="1"/>
    <col min="224" max="224" width="8.5" style="1" customWidth="1"/>
    <col min="225" max="462" width="9" style="1"/>
    <col min="463" max="463" width="6.6640625" style="1" customWidth="1"/>
    <col min="464" max="464" width="6.33203125" style="1" customWidth="1"/>
    <col min="465" max="468" width="8" style="1" customWidth="1"/>
    <col min="469" max="469" width="7.5" style="1" customWidth="1"/>
    <col min="470" max="471" width="8" style="1" customWidth="1"/>
    <col min="472" max="473" width="7.6640625" style="1" customWidth="1"/>
    <col min="474" max="474" width="9.6640625" style="1" customWidth="1"/>
    <col min="475" max="475" width="8.5" style="1" customWidth="1"/>
    <col min="476" max="476" width="7.6640625" style="1" customWidth="1"/>
    <col min="477" max="477" width="6.33203125" style="1" customWidth="1"/>
    <col min="478" max="478" width="8" style="1" customWidth="1"/>
    <col min="479" max="479" width="9.6640625" style="1" customWidth="1"/>
    <col min="480" max="480" width="8.5" style="1" customWidth="1"/>
    <col min="481" max="718" width="9" style="1"/>
    <col min="719" max="719" width="6.6640625" style="1" customWidth="1"/>
    <col min="720" max="720" width="6.33203125" style="1" customWidth="1"/>
    <col min="721" max="724" width="8" style="1" customWidth="1"/>
    <col min="725" max="725" width="7.5" style="1" customWidth="1"/>
    <col min="726" max="727" width="8" style="1" customWidth="1"/>
    <col min="728" max="729" width="7.6640625" style="1" customWidth="1"/>
    <col min="730" max="730" width="9.6640625" style="1" customWidth="1"/>
    <col min="731" max="731" width="8.5" style="1" customWidth="1"/>
    <col min="732" max="732" width="7.6640625" style="1" customWidth="1"/>
    <col min="733" max="733" width="6.33203125" style="1" customWidth="1"/>
    <col min="734" max="734" width="8" style="1" customWidth="1"/>
    <col min="735" max="735" width="9.6640625" style="1" customWidth="1"/>
    <col min="736" max="736" width="8.5" style="1" customWidth="1"/>
    <col min="737" max="974" width="9" style="1"/>
    <col min="975" max="975" width="6.6640625" style="1" customWidth="1"/>
    <col min="976" max="976" width="6.33203125" style="1" customWidth="1"/>
    <col min="977" max="980" width="8" style="1" customWidth="1"/>
    <col min="981" max="981" width="7.5" style="1" customWidth="1"/>
    <col min="982" max="983" width="8" style="1" customWidth="1"/>
    <col min="984" max="985" width="7.6640625" style="1" customWidth="1"/>
    <col min="986" max="986" width="9.6640625" style="1" customWidth="1"/>
    <col min="987" max="987" width="8.5" style="1" customWidth="1"/>
    <col min="988" max="988" width="7.6640625" style="1" customWidth="1"/>
    <col min="989" max="989" width="6.33203125" style="1" customWidth="1"/>
    <col min="990" max="990" width="8" style="1" customWidth="1"/>
    <col min="991" max="991" width="9.6640625" style="1" customWidth="1"/>
    <col min="992" max="992" width="8.5" style="1" customWidth="1"/>
    <col min="993" max="1230" width="9" style="1"/>
    <col min="1231" max="1231" width="6.6640625" style="1" customWidth="1"/>
    <col min="1232" max="1232" width="6.33203125" style="1" customWidth="1"/>
    <col min="1233" max="1236" width="8" style="1" customWidth="1"/>
    <col min="1237" max="1237" width="7.5" style="1" customWidth="1"/>
    <col min="1238" max="1239" width="8" style="1" customWidth="1"/>
    <col min="1240" max="1241" width="7.6640625" style="1" customWidth="1"/>
    <col min="1242" max="1242" width="9.6640625" style="1" customWidth="1"/>
    <col min="1243" max="1243" width="8.5" style="1" customWidth="1"/>
    <col min="1244" max="1244" width="7.6640625" style="1" customWidth="1"/>
    <col min="1245" max="1245" width="6.33203125" style="1" customWidth="1"/>
    <col min="1246" max="1246" width="8" style="1" customWidth="1"/>
    <col min="1247" max="1247" width="9.6640625" style="1" customWidth="1"/>
    <col min="1248" max="1248" width="8.5" style="1" customWidth="1"/>
    <col min="1249" max="1486" width="9" style="1"/>
    <col min="1487" max="1487" width="6.6640625" style="1" customWidth="1"/>
    <col min="1488" max="1488" width="6.33203125" style="1" customWidth="1"/>
    <col min="1489" max="1492" width="8" style="1" customWidth="1"/>
    <col min="1493" max="1493" width="7.5" style="1" customWidth="1"/>
    <col min="1494" max="1495" width="8" style="1" customWidth="1"/>
    <col min="1496" max="1497" width="7.6640625" style="1" customWidth="1"/>
    <col min="1498" max="1498" width="9.6640625" style="1" customWidth="1"/>
    <col min="1499" max="1499" width="8.5" style="1" customWidth="1"/>
    <col min="1500" max="1500" width="7.6640625" style="1" customWidth="1"/>
    <col min="1501" max="1501" width="6.33203125" style="1" customWidth="1"/>
    <col min="1502" max="1502" width="8" style="1" customWidth="1"/>
    <col min="1503" max="1503" width="9.6640625" style="1" customWidth="1"/>
    <col min="1504" max="1504" width="8.5" style="1" customWidth="1"/>
    <col min="1505" max="1742" width="9" style="1"/>
    <col min="1743" max="1743" width="6.6640625" style="1" customWidth="1"/>
    <col min="1744" max="1744" width="6.33203125" style="1" customWidth="1"/>
    <col min="1745" max="1748" width="8" style="1" customWidth="1"/>
    <col min="1749" max="1749" width="7.5" style="1" customWidth="1"/>
    <col min="1750" max="1751" width="8" style="1" customWidth="1"/>
    <col min="1752" max="1753" width="7.6640625" style="1" customWidth="1"/>
    <col min="1754" max="1754" width="9.6640625" style="1" customWidth="1"/>
    <col min="1755" max="1755" width="8.5" style="1" customWidth="1"/>
    <col min="1756" max="1756" width="7.6640625" style="1" customWidth="1"/>
    <col min="1757" max="1757" width="6.33203125" style="1" customWidth="1"/>
    <col min="1758" max="1758" width="8" style="1" customWidth="1"/>
    <col min="1759" max="1759" width="9.6640625" style="1" customWidth="1"/>
    <col min="1760" max="1760" width="8.5" style="1" customWidth="1"/>
    <col min="1761" max="1998" width="9" style="1"/>
    <col min="1999" max="1999" width="6.6640625" style="1" customWidth="1"/>
    <col min="2000" max="2000" width="6.33203125" style="1" customWidth="1"/>
    <col min="2001" max="2004" width="8" style="1" customWidth="1"/>
    <col min="2005" max="2005" width="7.5" style="1" customWidth="1"/>
    <col min="2006" max="2007" width="8" style="1" customWidth="1"/>
    <col min="2008" max="2009" width="7.6640625" style="1" customWidth="1"/>
    <col min="2010" max="2010" width="9.6640625" style="1" customWidth="1"/>
    <col min="2011" max="2011" width="8.5" style="1" customWidth="1"/>
    <col min="2012" max="2012" width="7.6640625" style="1" customWidth="1"/>
    <col min="2013" max="2013" width="6.33203125" style="1" customWidth="1"/>
    <col min="2014" max="2014" width="8" style="1" customWidth="1"/>
    <col min="2015" max="2015" width="9.6640625" style="1" customWidth="1"/>
    <col min="2016" max="2016" width="8.5" style="1" customWidth="1"/>
    <col min="2017" max="2254" width="9" style="1"/>
    <col min="2255" max="2255" width="6.6640625" style="1" customWidth="1"/>
    <col min="2256" max="2256" width="6.33203125" style="1" customWidth="1"/>
    <col min="2257" max="2260" width="8" style="1" customWidth="1"/>
    <col min="2261" max="2261" width="7.5" style="1" customWidth="1"/>
    <col min="2262" max="2263" width="8" style="1" customWidth="1"/>
    <col min="2264" max="2265" width="7.6640625" style="1" customWidth="1"/>
    <col min="2266" max="2266" width="9.6640625" style="1" customWidth="1"/>
    <col min="2267" max="2267" width="8.5" style="1" customWidth="1"/>
    <col min="2268" max="2268" width="7.6640625" style="1" customWidth="1"/>
    <col min="2269" max="2269" width="6.33203125" style="1" customWidth="1"/>
    <col min="2270" max="2270" width="8" style="1" customWidth="1"/>
    <col min="2271" max="2271" width="9.6640625" style="1" customWidth="1"/>
    <col min="2272" max="2272" width="8.5" style="1" customWidth="1"/>
    <col min="2273" max="2510" width="9" style="1"/>
    <col min="2511" max="2511" width="6.6640625" style="1" customWidth="1"/>
    <col min="2512" max="2512" width="6.33203125" style="1" customWidth="1"/>
    <col min="2513" max="2516" width="8" style="1" customWidth="1"/>
    <col min="2517" max="2517" width="7.5" style="1" customWidth="1"/>
    <col min="2518" max="2519" width="8" style="1" customWidth="1"/>
    <col min="2520" max="2521" width="7.6640625" style="1" customWidth="1"/>
    <col min="2522" max="2522" width="9.6640625" style="1" customWidth="1"/>
    <col min="2523" max="2523" width="8.5" style="1" customWidth="1"/>
    <col min="2524" max="2524" width="7.6640625" style="1" customWidth="1"/>
    <col min="2525" max="2525" width="6.33203125" style="1" customWidth="1"/>
    <col min="2526" max="2526" width="8" style="1" customWidth="1"/>
    <col min="2527" max="2527" width="9.6640625" style="1" customWidth="1"/>
    <col min="2528" max="2528" width="8.5" style="1" customWidth="1"/>
    <col min="2529" max="2766" width="9" style="1"/>
    <col min="2767" max="2767" width="6.6640625" style="1" customWidth="1"/>
    <col min="2768" max="2768" width="6.33203125" style="1" customWidth="1"/>
    <col min="2769" max="2772" width="8" style="1" customWidth="1"/>
    <col min="2773" max="2773" width="7.5" style="1" customWidth="1"/>
    <col min="2774" max="2775" width="8" style="1" customWidth="1"/>
    <col min="2776" max="2777" width="7.6640625" style="1" customWidth="1"/>
    <col min="2778" max="2778" width="9.6640625" style="1" customWidth="1"/>
    <col min="2779" max="2779" width="8.5" style="1" customWidth="1"/>
    <col min="2780" max="2780" width="7.6640625" style="1" customWidth="1"/>
    <col min="2781" max="2781" width="6.33203125" style="1" customWidth="1"/>
    <col min="2782" max="2782" width="8" style="1" customWidth="1"/>
    <col min="2783" max="2783" width="9.6640625" style="1" customWidth="1"/>
    <col min="2784" max="2784" width="8.5" style="1" customWidth="1"/>
    <col min="2785" max="3022" width="9" style="1"/>
    <col min="3023" max="3023" width="6.6640625" style="1" customWidth="1"/>
    <col min="3024" max="3024" width="6.33203125" style="1" customWidth="1"/>
    <col min="3025" max="3028" width="8" style="1" customWidth="1"/>
    <col min="3029" max="3029" width="7.5" style="1" customWidth="1"/>
    <col min="3030" max="3031" width="8" style="1" customWidth="1"/>
    <col min="3032" max="3033" width="7.6640625" style="1" customWidth="1"/>
    <col min="3034" max="3034" width="9.6640625" style="1" customWidth="1"/>
    <col min="3035" max="3035" width="8.5" style="1" customWidth="1"/>
    <col min="3036" max="3036" width="7.6640625" style="1" customWidth="1"/>
    <col min="3037" max="3037" width="6.33203125" style="1" customWidth="1"/>
    <col min="3038" max="3038" width="8" style="1" customWidth="1"/>
    <col min="3039" max="3039" width="9.6640625" style="1" customWidth="1"/>
    <col min="3040" max="3040" width="8.5" style="1" customWidth="1"/>
    <col min="3041" max="3278" width="9" style="1"/>
    <col min="3279" max="3279" width="6.6640625" style="1" customWidth="1"/>
    <col min="3280" max="3280" width="6.33203125" style="1" customWidth="1"/>
    <col min="3281" max="3284" width="8" style="1" customWidth="1"/>
    <col min="3285" max="3285" width="7.5" style="1" customWidth="1"/>
    <col min="3286" max="3287" width="8" style="1" customWidth="1"/>
    <col min="3288" max="3289" width="7.6640625" style="1" customWidth="1"/>
    <col min="3290" max="3290" width="9.6640625" style="1" customWidth="1"/>
    <col min="3291" max="3291" width="8.5" style="1" customWidth="1"/>
    <col min="3292" max="3292" width="7.6640625" style="1" customWidth="1"/>
    <col min="3293" max="3293" width="6.33203125" style="1" customWidth="1"/>
    <col min="3294" max="3294" width="8" style="1" customWidth="1"/>
    <col min="3295" max="3295" width="9.6640625" style="1" customWidth="1"/>
    <col min="3296" max="3296" width="8.5" style="1" customWidth="1"/>
    <col min="3297" max="3534" width="9" style="1"/>
    <col min="3535" max="3535" width="6.6640625" style="1" customWidth="1"/>
    <col min="3536" max="3536" width="6.33203125" style="1" customWidth="1"/>
    <col min="3537" max="3540" width="8" style="1" customWidth="1"/>
    <col min="3541" max="3541" width="7.5" style="1" customWidth="1"/>
    <col min="3542" max="3543" width="8" style="1" customWidth="1"/>
    <col min="3544" max="3545" width="7.6640625" style="1" customWidth="1"/>
    <col min="3546" max="3546" width="9.6640625" style="1" customWidth="1"/>
    <col min="3547" max="3547" width="8.5" style="1" customWidth="1"/>
    <col min="3548" max="3548" width="7.6640625" style="1" customWidth="1"/>
    <col min="3549" max="3549" width="6.33203125" style="1" customWidth="1"/>
    <col min="3550" max="3550" width="8" style="1" customWidth="1"/>
    <col min="3551" max="3551" width="9.6640625" style="1" customWidth="1"/>
    <col min="3552" max="3552" width="8.5" style="1" customWidth="1"/>
    <col min="3553" max="3790" width="9" style="1"/>
    <col min="3791" max="3791" width="6.6640625" style="1" customWidth="1"/>
    <col min="3792" max="3792" width="6.33203125" style="1" customWidth="1"/>
    <col min="3793" max="3796" width="8" style="1" customWidth="1"/>
    <col min="3797" max="3797" width="7.5" style="1" customWidth="1"/>
    <col min="3798" max="3799" width="8" style="1" customWidth="1"/>
    <col min="3800" max="3801" width="7.6640625" style="1" customWidth="1"/>
    <col min="3802" max="3802" width="9.6640625" style="1" customWidth="1"/>
    <col min="3803" max="3803" width="8.5" style="1" customWidth="1"/>
    <col min="3804" max="3804" width="7.6640625" style="1" customWidth="1"/>
    <col min="3805" max="3805" width="6.33203125" style="1" customWidth="1"/>
    <col min="3806" max="3806" width="8" style="1" customWidth="1"/>
    <col min="3807" max="3807" width="9.6640625" style="1" customWidth="1"/>
    <col min="3808" max="3808" width="8.5" style="1" customWidth="1"/>
    <col min="3809" max="4046" width="9" style="1"/>
    <col min="4047" max="4047" width="6.6640625" style="1" customWidth="1"/>
    <col min="4048" max="4048" width="6.33203125" style="1" customWidth="1"/>
    <col min="4049" max="4052" width="8" style="1" customWidth="1"/>
    <col min="4053" max="4053" width="7.5" style="1" customWidth="1"/>
    <col min="4054" max="4055" width="8" style="1" customWidth="1"/>
    <col min="4056" max="4057" width="7.6640625" style="1" customWidth="1"/>
    <col min="4058" max="4058" width="9.6640625" style="1" customWidth="1"/>
    <col min="4059" max="4059" width="8.5" style="1" customWidth="1"/>
    <col min="4060" max="4060" width="7.6640625" style="1" customWidth="1"/>
    <col min="4061" max="4061" width="6.33203125" style="1" customWidth="1"/>
    <col min="4062" max="4062" width="8" style="1" customWidth="1"/>
    <col min="4063" max="4063" width="9.6640625" style="1" customWidth="1"/>
    <col min="4064" max="4064" width="8.5" style="1" customWidth="1"/>
    <col min="4065" max="4302" width="9" style="1"/>
    <col min="4303" max="4303" width="6.6640625" style="1" customWidth="1"/>
    <col min="4304" max="4304" width="6.33203125" style="1" customWidth="1"/>
    <col min="4305" max="4308" width="8" style="1" customWidth="1"/>
    <col min="4309" max="4309" width="7.5" style="1" customWidth="1"/>
    <col min="4310" max="4311" width="8" style="1" customWidth="1"/>
    <col min="4312" max="4313" width="7.6640625" style="1" customWidth="1"/>
    <col min="4314" max="4314" width="9.6640625" style="1" customWidth="1"/>
    <col min="4315" max="4315" width="8.5" style="1" customWidth="1"/>
    <col min="4316" max="4316" width="7.6640625" style="1" customWidth="1"/>
    <col min="4317" max="4317" width="6.33203125" style="1" customWidth="1"/>
    <col min="4318" max="4318" width="8" style="1" customWidth="1"/>
    <col min="4319" max="4319" width="9.6640625" style="1" customWidth="1"/>
    <col min="4320" max="4320" width="8.5" style="1" customWidth="1"/>
    <col min="4321" max="4558" width="9" style="1"/>
    <col min="4559" max="4559" width="6.6640625" style="1" customWidth="1"/>
    <col min="4560" max="4560" width="6.33203125" style="1" customWidth="1"/>
    <col min="4561" max="4564" width="8" style="1" customWidth="1"/>
    <col min="4565" max="4565" width="7.5" style="1" customWidth="1"/>
    <col min="4566" max="4567" width="8" style="1" customWidth="1"/>
    <col min="4568" max="4569" width="7.6640625" style="1" customWidth="1"/>
    <col min="4570" max="4570" width="9.6640625" style="1" customWidth="1"/>
    <col min="4571" max="4571" width="8.5" style="1" customWidth="1"/>
    <col min="4572" max="4572" width="7.6640625" style="1" customWidth="1"/>
    <col min="4573" max="4573" width="6.33203125" style="1" customWidth="1"/>
    <col min="4574" max="4574" width="8" style="1" customWidth="1"/>
    <col min="4575" max="4575" width="9.6640625" style="1" customWidth="1"/>
    <col min="4576" max="4576" width="8.5" style="1" customWidth="1"/>
    <col min="4577" max="4814" width="9" style="1"/>
    <col min="4815" max="4815" width="6.6640625" style="1" customWidth="1"/>
    <col min="4816" max="4816" width="6.33203125" style="1" customWidth="1"/>
    <col min="4817" max="4820" width="8" style="1" customWidth="1"/>
    <col min="4821" max="4821" width="7.5" style="1" customWidth="1"/>
    <col min="4822" max="4823" width="8" style="1" customWidth="1"/>
    <col min="4824" max="4825" width="7.6640625" style="1" customWidth="1"/>
    <col min="4826" max="4826" width="9.6640625" style="1" customWidth="1"/>
    <col min="4827" max="4827" width="8.5" style="1" customWidth="1"/>
    <col min="4828" max="4828" width="7.6640625" style="1" customWidth="1"/>
    <col min="4829" max="4829" width="6.33203125" style="1" customWidth="1"/>
    <col min="4830" max="4830" width="8" style="1" customWidth="1"/>
    <col min="4831" max="4831" width="9.6640625" style="1" customWidth="1"/>
    <col min="4832" max="4832" width="8.5" style="1" customWidth="1"/>
    <col min="4833" max="5070" width="9" style="1"/>
    <col min="5071" max="5071" width="6.6640625" style="1" customWidth="1"/>
    <col min="5072" max="5072" width="6.33203125" style="1" customWidth="1"/>
    <col min="5073" max="5076" width="8" style="1" customWidth="1"/>
    <col min="5077" max="5077" width="7.5" style="1" customWidth="1"/>
    <col min="5078" max="5079" width="8" style="1" customWidth="1"/>
    <col min="5080" max="5081" width="7.6640625" style="1" customWidth="1"/>
    <col min="5082" max="5082" width="9.6640625" style="1" customWidth="1"/>
    <col min="5083" max="5083" width="8.5" style="1" customWidth="1"/>
    <col min="5084" max="5084" width="7.6640625" style="1" customWidth="1"/>
    <col min="5085" max="5085" width="6.33203125" style="1" customWidth="1"/>
    <col min="5086" max="5086" width="8" style="1" customWidth="1"/>
    <col min="5087" max="5087" width="9.6640625" style="1" customWidth="1"/>
    <col min="5088" max="5088" width="8.5" style="1" customWidth="1"/>
    <col min="5089" max="5326" width="9" style="1"/>
    <col min="5327" max="5327" width="6.6640625" style="1" customWidth="1"/>
    <col min="5328" max="5328" width="6.33203125" style="1" customWidth="1"/>
    <col min="5329" max="5332" width="8" style="1" customWidth="1"/>
    <col min="5333" max="5333" width="7.5" style="1" customWidth="1"/>
    <col min="5334" max="5335" width="8" style="1" customWidth="1"/>
    <col min="5336" max="5337" width="7.6640625" style="1" customWidth="1"/>
    <col min="5338" max="5338" width="9.6640625" style="1" customWidth="1"/>
    <col min="5339" max="5339" width="8.5" style="1" customWidth="1"/>
    <col min="5340" max="5340" width="7.6640625" style="1" customWidth="1"/>
    <col min="5341" max="5341" width="6.33203125" style="1" customWidth="1"/>
    <col min="5342" max="5342" width="8" style="1" customWidth="1"/>
    <col min="5343" max="5343" width="9.6640625" style="1" customWidth="1"/>
    <col min="5344" max="5344" width="8.5" style="1" customWidth="1"/>
    <col min="5345" max="5582" width="9" style="1"/>
    <col min="5583" max="5583" width="6.6640625" style="1" customWidth="1"/>
    <col min="5584" max="5584" width="6.33203125" style="1" customWidth="1"/>
    <col min="5585" max="5588" width="8" style="1" customWidth="1"/>
    <col min="5589" max="5589" width="7.5" style="1" customWidth="1"/>
    <col min="5590" max="5591" width="8" style="1" customWidth="1"/>
    <col min="5592" max="5593" width="7.6640625" style="1" customWidth="1"/>
    <col min="5594" max="5594" width="9.6640625" style="1" customWidth="1"/>
    <col min="5595" max="5595" width="8.5" style="1" customWidth="1"/>
    <col min="5596" max="5596" width="7.6640625" style="1" customWidth="1"/>
    <col min="5597" max="5597" width="6.33203125" style="1" customWidth="1"/>
    <col min="5598" max="5598" width="8" style="1" customWidth="1"/>
    <col min="5599" max="5599" width="9.6640625" style="1" customWidth="1"/>
    <col min="5600" max="5600" width="8.5" style="1" customWidth="1"/>
    <col min="5601" max="5838" width="9" style="1"/>
    <col min="5839" max="5839" width="6.6640625" style="1" customWidth="1"/>
    <col min="5840" max="5840" width="6.33203125" style="1" customWidth="1"/>
    <col min="5841" max="5844" width="8" style="1" customWidth="1"/>
    <col min="5845" max="5845" width="7.5" style="1" customWidth="1"/>
    <col min="5846" max="5847" width="8" style="1" customWidth="1"/>
    <col min="5848" max="5849" width="7.6640625" style="1" customWidth="1"/>
    <col min="5850" max="5850" width="9.6640625" style="1" customWidth="1"/>
    <col min="5851" max="5851" width="8.5" style="1" customWidth="1"/>
    <col min="5852" max="5852" width="7.6640625" style="1" customWidth="1"/>
    <col min="5853" max="5853" width="6.33203125" style="1" customWidth="1"/>
    <col min="5854" max="5854" width="8" style="1" customWidth="1"/>
    <col min="5855" max="5855" width="9.6640625" style="1" customWidth="1"/>
    <col min="5856" max="5856" width="8.5" style="1" customWidth="1"/>
    <col min="5857" max="6094" width="9" style="1"/>
    <col min="6095" max="6095" width="6.6640625" style="1" customWidth="1"/>
    <col min="6096" max="6096" width="6.33203125" style="1" customWidth="1"/>
    <col min="6097" max="6100" width="8" style="1" customWidth="1"/>
    <col min="6101" max="6101" width="7.5" style="1" customWidth="1"/>
    <col min="6102" max="6103" width="8" style="1" customWidth="1"/>
    <col min="6104" max="6105" width="7.6640625" style="1" customWidth="1"/>
    <col min="6106" max="6106" width="9.6640625" style="1" customWidth="1"/>
    <col min="6107" max="6107" width="8.5" style="1" customWidth="1"/>
    <col min="6108" max="6108" width="7.6640625" style="1" customWidth="1"/>
    <col min="6109" max="6109" width="6.33203125" style="1" customWidth="1"/>
    <col min="6110" max="6110" width="8" style="1" customWidth="1"/>
    <col min="6111" max="6111" width="9.6640625" style="1" customWidth="1"/>
    <col min="6112" max="6112" width="8.5" style="1" customWidth="1"/>
    <col min="6113" max="6350" width="9" style="1"/>
    <col min="6351" max="6351" width="6.6640625" style="1" customWidth="1"/>
    <col min="6352" max="6352" width="6.33203125" style="1" customWidth="1"/>
    <col min="6353" max="6356" width="8" style="1" customWidth="1"/>
    <col min="6357" max="6357" width="7.5" style="1" customWidth="1"/>
    <col min="6358" max="6359" width="8" style="1" customWidth="1"/>
    <col min="6360" max="6361" width="7.6640625" style="1" customWidth="1"/>
    <col min="6362" max="6362" width="9.6640625" style="1" customWidth="1"/>
    <col min="6363" max="6363" width="8.5" style="1" customWidth="1"/>
    <col min="6364" max="6364" width="7.6640625" style="1" customWidth="1"/>
    <col min="6365" max="6365" width="6.33203125" style="1" customWidth="1"/>
    <col min="6366" max="6366" width="8" style="1" customWidth="1"/>
    <col min="6367" max="6367" width="9.6640625" style="1" customWidth="1"/>
    <col min="6368" max="6368" width="8.5" style="1" customWidth="1"/>
    <col min="6369" max="6606" width="9" style="1"/>
    <col min="6607" max="6607" width="6.6640625" style="1" customWidth="1"/>
    <col min="6608" max="6608" width="6.33203125" style="1" customWidth="1"/>
    <col min="6609" max="6612" width="8" style="1" customWidth="1"/>
    <col min="6613" max="6613" width="7.5" style="1" customWidth="1"/>
    <col min="6614" max="6615" width="8" style="1" customWidth="1"/>
    <col min="6616" max="6617" width="7.6640625" style="1" customWidth="1"/>
    <col min="6618" max="6618" width="9.6640625" style="1" customWidth="1"/>
    <col min="6619" max="6619" width="8.5" style="1" customWidth="1"/>
    <col min="6620" max="6620" width="7.6640625" style="1" customWidth="1"/>
    <col min="6621" max="6621" width="6.33203125" style="1" customWidth="1"/>
    <col min="6622" max="6622" width="8" style="1" customWidth="1"/>
    <col min="6623" max="6623" width="9.6640625" style="1" customWidth="1"/>
    <col min="6624" max="6624" width="8.5" style="1" customWidth="1"/>
    <col min="6625" max="6862" width="9" style="1"/>
    <col min="6863" max="6863" width="6.6640625" style="1" customWidth="1"/>
    <col min="6864" max="6864" width="6.33203125" style="1" customWidth="1"/>
    <col min="6865" max="6868" width="8" style="1" customWidth="1"/>
    <col min="6869" max="6869" width="7.5" style="1" customWidth="1"/>
    <col min="6870" max="6871" width="8" style="1" customWidth="1"/>
    <col min="6872" max="6873" width="7.6640625" style="1" customWidth="1"/>
    <col min="6874" max="6874" width="9.6640625" style="1" customWidth="1"/>
    <col min="6875" max="6875" width="8.5" style="1" customWidth="1"/>
    <col min="6876" max="6876" width="7.6640625" style="1" customWidth="1"/>
    <col min="6877" max="6877" width="6.33203125" style="1" customWidth="1"/>
    <col min="6878" max="6878" width="8" style="1" customWidth="1"/>
    <col min="6879" max="6879" width="9.6640625" style="1" customWidth="1"/>
    <col min="6880" max="6880" width="8.5" style="1" customWidth="1"/>
    <col min="6881" max="7118" width="9" style="1"/>
    <col min="7119" max="7119" width="6.6640625" style="1" customWidth="1"/>
    <col min="7120" max="7120" width="6.33203125" style="1" customWidth="1"/>
    <col min="7121" max="7124" width="8" style="1" customWidth="1"/>
    <col min="7125" max="7125" width="7.5" style="1" customWidth="1"/>
    <col min="7126" max="7127" width="8" style="1" customWidth="1"/>
    <col min="7128" max="7129" width="7.6640625" style="1" customWidth="1"/>
    <col min="7130" max="7130" width="9.6640625" style="1" customWidth="1"/>
    <col min="7131" max="7131" width="8.5" style="1" customWidth="1"/>
    <col min="7132" max="7132" width="7.6640625" style="1" customWidth="1"/>
    <col min="7133" max="7133" width="6.33203125" style="1" customWidth="1"/>
    <col min="7134" max="7134" width="8" style="1" customWidth="1"/>
    <col min="7135" max="7135" width="9.6640625" style="1" customWidth="1"/>
    <col min="7136" max="7136" width="8.5" style="1" customWidth="1"/>
    <col min="7137" max="7374" width="9" style="1"/>
    <col min="7375" max="7375" width="6.6640625" style="1" customWidth="1"/>
    <col min="7376" max="7376" width="6.33203125" style="1" customWidth="1"/>
    <col min="7377" max="7380" width="8" style="1" customWidth="1"/>
    <col min="7381" max="7381" width="7.5" style="1" customWidth="1"/>
    <col min="7382" max="7383" width="8" style="1" customWidth="1"/>
    <col min="7384" max="7385" width="7.6640625" style="1" customWidth="1"/>
    <col min="7386" max="7386" width="9.6640625" style="1" customWidth="1"/>
    <col min="7387" max="7387" width="8.5" style="1" customWidth="1"/>
    <col min="7388" max="7388" width="7.6640625" style="1" customWidth="1"/>
    <col min="7389" max="7389" width="6.33203125" style="1" customWidth="1"/>
    <col min="7390" max="7390" width="8" style="1" customWidth="1"/>
    <col min="7391" max="7391" width="9.6640625" style="1" customWidth="1"/>
    <col min="7392" max="7392" width="8.5" style="1" customWidth="1"/>
    <col min="7393" max="7630" width="9" style="1"/>
    <col min="7631" max="7631" width="6.6640625" style="1" customWidth="1"/>
    <col min="7632" max="7632" width="6.33203125" style="1" customWidth="1"/>
    <col min="7633" max="7636" width="8" style="1" customWidth="1"/>
    <col min="7637" max="7637" width="7.5" style="1" customWidth="1"/>
    <col min="7638" max="7639" width="8" style="1" customWidth="1"/>
    <col min="7640" max="7641" width="7.6640625" style="1" customWidth="1"/>
    <col min="7642" max="7642" width="9.6640625" style="1" customWidth="1"/>
    <col min="7643" max="7643" width="8.5" style="1" customWidth="1"/>
    <col min="7644" max="7644" width="7.6640625" style="1" customWidth="1"/>
    <col min="7645" max="7645" width="6.33203125" style="1" customWidth="1"/>
    <col min="7646" max="7646" width="8" style="1" customWidth="1"/>
    <col min="7647" max="7647" width="9.6640625" style="1" customWidth="1"/>
    <col min="7648" max="7648" width="8.5" style="1" customWidth="1"/>
    <col min="7649" max="7886" width="9" style="1"/>
    <col min="7887" max="7887" width="6.6640625" style="1" customWidth="1"/>
    <col min="7888" max="7888" width="6.33203125" style="1" customWidth="1"/>
    <col min="7889" max="7892" width="8" style="1" customWidth="1"/>
    <col min="7893" max="7893" width="7.5" style="1" customWidth="1"/>
    <col min="7894" max="7895" width="8" style="1" customWidth="1"/>
    <col min="7896" max="7897" width="7.6640625" style="1" customWidth="1"/>
    <col min="7898" max="7898" width="9.6640625" style="1" customWidth="1"/>
    <col min="7899" max="7899" width="8.5" style="1" customWidth="1"/>
    <col min="7900" max="7900" width="7.6640625" style="1" customWidth="1"/>
    <col min="7901" max="7901" width="6.33203125" style="1" customWidth="1"/>
    <col min="7902" max="7902" width="8" style="1" customWidth="1"/>
    <col min="7903" max="7903" width="9.6640625" style="1" customWidth="1"/>
    <col min="7904" max="7904" width="8.5" style="1" customWidth="1"/>
    <col min="7905" max="8142" width="9" style="1"/>
    <col min="8143" max="8143" width="6.6640625" style="1" customWidth="1"/>
    <col min="8144" max="8144" width="6.33203125" style="1" customWidth="1"/>
    <col min="8145" max="8148" width="8" style="1" customWidth="1"/>
    <col min="8149" max="8149" width="7.5" style="1" customWidth="1"/>
    <col min="8150" max="8151" width="8" style="1" customWidth="1"/>
    <col min="8152" max="8153" width="7.6640625" style="1" customWidth="1"/>
    <col min="8154" max="8154" width="9.6640625" style="1" customWidth="1"/>
    <col min="8155" max="8155" width="8.5" style="1" customWidth="1"/>
    <col min="8156" max="8156" width="7.6640625" style="1" customWidth="1"/>
    <col min="8157" max="8157" width="6.33203125" style="1" customWidth="1"/>
    <col min="8158" max="8158" width="8" style="1" customWidth="1"/>
    <col min="8159" max="8159" width="9.6640625" style="1" customWidth="1"/>
    <col min="8160" max="8160" width="8.5" style="1" customWidth="1"/>
    <col min="8161" max="8398" width="9" style="1"/>
    <col min="8399" max="8399" width="6.6640625" style="1" customWidth="1"/>
    <col min="8400" max="8400" width="6.33203125" style="1" customWidth="1"/>
    <col min="8401" max="8404" width="8" style="1" customWidth="1"/>
    <col min="8405" max="8405" width="7.5" style="1" customWidth="1"/>
    <col min="8406" max="8407" width="8" style="1" customWidth="1"/>
    <col min="8408" max="8409" width="7.6640625" style="1" customWidth="1"/>
    <col min="8410" max="8410" width="9.6640625" style="1" customWidth="1"/>
    <col min="8411" max="8411" width="8.5" style="1" customWidth="1"/>
    <col min="8412" max="8412" width="7.6640625" style="1" customWidth="1"/>
    <col min="8413" max="8413" width="6.33203125" style="1" customWidth="1"/>
    <col min="8414" max="8414" width="8" style="1" customWidth="1"/>
    <col min="8415" max="8415" width="9.6640625" style="1" customWidth="1"/>
    <col min="8416" max="8416" width="8.5" style="1" customWidth="1"/>
    <col min="8417" max="8654" width="9" style="1"/>
    <col min="8655" max="8655" width="6.6640625" style="1" customWidth="1"/>
    <col min="8656" max="8656" width="6.33203125" style="1" customWidth="1"/>
    <col min="8657" max="8660" width="8" style="1" customWidth="1"/>
    <col min="8661" max="8661" width="7.5" style="1" customWidth="1"/>
    <col min="8662" max="8663" width="8" style="1" customWidth="1"/>
    <col min="8664" max="8665" width="7.6640625" style="1" customWidth="1"/>
    <col min="8666" max="8666" width="9.6640625" style="1" customWidth="1"/>
    <col min="8667" max="8667" width="8.5" style="1" customWidth="1"/>
    <col min="8668" max="8668" width="7.6640625" style="1" customWidth="1"/>
    <col min="8669" max="8669" width="6.33203125" style="1" customWidth="1"/>
    <col min="8670" max="8670" width="8" style="1" customWidth="1"/>
    <col min="8671" max="8671" width="9.6640625" style="1" customWidth="1"/>
    <col min="8672" max="8672" width="8.5" style="1" customWidth="1"/>
    <col min="8673" max="8910" width="9" style="1"/>
    <col min="8911" max="8911" width="6.6640625" style="1" customWidth="1"/>
    <col min="8912" max="8912" width="6.33203125" style="1" customWidth="1"/>
    <col min="8913" max="8916" width="8" style="1" customWidth="1"/>
    <col min="8917" max="8917" width="7.5" style="1" customWidth="1"/>
    <col min="8918" max="8919" width="8" style="1" customWidth="1"/>
    <col min="8920" max="8921" width="7.6640625" style="1" customWidth="1"/>
    <col min="8922" max="8922" width="9.6640625" style="1" customWidth="1"/>
    <col min="8923" max="8923" width="8.5" style="1" customWidth="1"/>
    <col min="8924" max="8924" width="7.6640625" style="1" customWidth="1"/>
    <col min="8925" max="8925" width="6.33203125" style="1" customWidth="1"/>
    <col min="8926" max="8926" width="8" style="1" customWidth="1"/>
    <col min="8927" max="8927" width="9.6640625" style="1" customWidth="1"/>
    <col min="8928" max="8928" width="8.5" style="1" customWidth="1"/>
    <col min="8929" max="9166" width="9" style="1"/>
    <col min="9167" max="9167" width="6.6640625" style="1" customWidth="1"/>
    <col min="9168" max="9168" width="6.33203125" style="1" customWidth="1"/>
    <col min="9169" max="9172" width="8" style="1" customWidth="1"/>
    <col min="9173" max="9173" width="7.5" style="1" customWidth="1"/>
    <col min="9174" max="9175" width="8" style="1" customWidth="1"/>
    <col min="9176" max="9177" width="7.6640625" style="1" customWidth="1"/>
    <col min="9178" max="9178" width="9.6640625" style="1" customWidth="1"/>
    <col min="9179" max="9179" width="8.5" style="1" customWidth="1"/>
    <col min="9180" max="9180" width="7.6640625" style="1" customWidth="1"/>
    <col min="9181" max="9181" width="6.33203125" style="1" customWidth="1"/>
    <col min="9182" max="9182" width="8" style="1" customWidth="1"/>
    <col min="9183" max="9183" width="9.6640625" style="1" customWidth="1"/>
    <col min="9184" max="9184" width="8.5" style="1" customWidth="1"/>
    <col min="9185" max="9422" width="9" style="1"/>
    <col min="9423" max="9423" width="6.6640625" style="1" customWidth="1"/>
    <col min="9424" max="9424" width="6.33203125" style="1" customWidth="1"/>
    <col min="9425" max="9428" width="8" style="1" customWidth="1"/>
    <col min="9429" max="9429" width="7.5" style="1" customWidth="1"/>
    <col min="9430" max="9431" width="8" style="1" customWidth="1"/>
    <col min="9432" max="9433" width="7.6640625" style="1" customWidth="1"/>
    <col min="9434" max="9434" width="9.6640625" style="1" customWidth="1"/>
    <col min="9435" max="9435" width="8.5" style="1" customWidth="1"/>
    <col min="9436" max="9436" width="7.6640625" style="1" customWidth="1"/>
    <col min="9437" max="9437" width="6.33203125" style="1" customWidth="1"/>
    <col min="9438" max="9438" width="8" style="1" customWidth="1"/>
    <col min="9439" max="9439" width="9.6640625" style="1" customWidth="1"/>
    <col min="9440" max="9440" width="8.5" style="1" customWidth="1"/>
    <col min="9441" max="9678" width="9" style="1"/>
    <col min="9679" max="9679" width="6.6640625" style="1" customWidth="1"/>
    <col min="9680" max="9680" width="6.33203125" style="1" customWidth="1"/>
    <col min="9681" max="9684" width="8" style="1" customWidth="1"/>
    <col min="9685" max="9685" width="7.5" style="1" customWidth="1"/>
    <col min="9686" max="9687" width="8" style="1" customWidth="1"/>
    <col min="9688" max="9689" width="7.6640625" style="1" customWidth="1"/>
    <col min="9690" max="9690" width="9.6640625" style="1" customWidth="1"/>
    <col min="9691" max="9691" width="8.5" style="1" customWidth="1"/>
    <col min="9692" max="9692" width="7.6640625" style="1" customWidth="1"/>
    <col min="9693" max="9693" width="6.33203125" style="1" customWidth="1"/>
    <col min="9694" max="9694" width="8" style="1" customWidth="1"/>
    <col min="9695" max="9695" width="9.6640625" style="1" customWidth="1"/>
    <col min="9696" max="9696" width="8.5" style="1" customWidth="1"/>
    <col min="9697" max="9934" width="9" style="1"/>
    <col min="9935" max="9935" width="6.6640625" style="1" customWidth="1"/>
    <col min="9936" max="9936" width="6.33203125" style="1" customWidth="1"/>
    <col min="9937" max="9940" width="8" style="1" customWidth="1"/>
    <col min="9941" max="9941" width="7.5" style="1" customWidth="1"/>
    <col min="9942" max="9943" width="8" style="1" customWidth="1"/>
    <col min="9944" max="9945" width="7.6640625" style="1" customWidth="1"/>
    <col min="9946" max="9946" width="9.6640625" style="1" customWidth="1"/>
    <col min="9947" max="9947" width="8.5" style="1" customWidth="1"/>
    <col min="9948" max="9948" width="7.6640625" style="1" customWidth="1"/>
    <col min="9949" max="9949" width="6.33203125" style="1" customWidth="1"/>
    <col min="9950" max="9950" width="8" style="1" customWidth="1"/>
    <col min="9951" max="9951" width="9.6640625" style="1" customWidth="1"/>
    <col min="9952" max="9952" width="8.5" style="1" customWidth="1"/>
    <col min="9953" max="10190" width="9" style="1"/>
    <col min="10191" max="10191" width="6.6640625" style="1" customWidth="1"/>
    <col min="10192" max="10192" width="6.33203125" style="1" customWidth="1"/>
    <col min="10193" max="10196" width="8" style="1" customWidth="1"/>
    <col min="10197" max="10197" width="7.5" style="1" customWidth="1"/>
    <col min="10198" max="10199" width="8" style="1" customWidth="1"/>
    <col min="10200" max="10201" width="7.6640625" style="1" customWidth="1"/>
    <col min="10202" max="10202" width="9.6640625" style="1" customWidth="1"/>
    <col min="10203" max="10203" width="8.5" style="1" customWidth="1"/>
    <col min="10204" max="10204" width="7.6640625" style="1" customWidth="1"/>
    <col min="10205" max="10205" width="6.33203125" style="1" customWidth="1"/>
    <col min="10206" max="10206" width="8" style="1" customWidth="1"/>
    <col min="10207" max="10207" width="9.6640625" style="1" customWidth="1"/>
    <col min="10208" max="10208" width="8.5" style="1" customWidth="1"/>
    <col min="10209" max="10446" width="9" style="1"/>
    <col min="10447" max="10447" width="6.6640625" style="1" customWidth="1"/>
    <col min="10448" max="10448" width="6.33203125" style="1" customWidth="1"/>
    <col min="10449" max="10452" width="8" style="1" customWidth="1"/>
    <col min="10453" max="10453" width="7.5" style="1" customWidth="1"/>
    <col min="10454" max="10455" width="8" style="1" customWidth="1"/>
    <col min="10456" max="10457" width="7.6640625" style="1" customWidth="1"/>
    <col min="10458" max="10458" width="9.6640625" style="1" customWidth="1"/>
    <col min="10459" max="10459" width="8.5" style="1" customWidth="1"/>
    <col min="10460" max="10460" width="7.6640625" style="1" customWidth="1"/>
    <col min="10461" max="10461" width="6.33203125" style="1" customWidth="1"/>
    <col min="10462" max="10462" width="8" style="1" customWidth="1"/>
    <col min="10463" max="10463" width="9.6640625" style="1" customWidth="1"/>
    <col min="10464" max="10464" width="8.5" style="1" customWidth="1"/>
    <col min="10465" max="10702" width="9" style="1"/>
    <col min="10703" max="10703" width="6.6640625" style="1" customWidth="1"/>
    <col min="10704" max="10704" width="6.33203125" style="1" customWidth="1"/>
    <col min="10705" max="10708" width="8" style="1" customWidth="1"/>
    <col min="10709" max="10709" width="7.5" style="1" customWidth="1"/>
    <col min="10710" max="10711" width="8" style="1" customWidth="1"/>
    <col min="10712" max="10713" width="7.6640625" style="1" customWidth="1"/>
    <col min="10714" max="10714" width="9.6640625" style="1" customWidth="1"/>
    <col min="10715" max="10715" width="8.5" style="1" customWidth="1"/>
    <col min="10716" max="10716" width="7.6640625" style="1" customWidth="1"/>
    <col min="10717" max="10717" width="6.33203125" style="1" customWidth="1"/>
    <col min="10718" max="10718" width="8" style="1" customWidth="1"/>
    <col min="10719" max="10719" width="9.6640625" style="1" customWidth="1"/>
    <col min="10720" max="10720" width="8.5" style="1" customWidth="1"/>
    <col min="10721" max="10958" width="9" style="1"/>
    <col min="10959" max="10959" width="6.6640625" style="1" customWidth="1"/>
    <col min="10960" max="10960" width="6.33203125" style="1" customWidth="1"/>
    <col min="10961" max="10964" width="8" style="1" customWidth="1"/>
    <col min="10965" max="10965" width="7.5" style="1" customWidth="1"/>
    <col min="10966" max="10967" width="8" style="1" customWidth="1"/>
    <col min="10968" max="10969" width="7.6640625" style="1" customWidth="1"/>
    <col min="10970" max="10970" width="9.6640625" style="1" customWidth="1"/>
    <col min="10971" max="10971" width="8.5" style="1" customWidth="1"/>
    <col min="10972" max="10972" width="7.6640625" style="1" customWidth="1"/>
    <col min="10973" max="10973" width="6.33203125" style="1" customWidth="1"/>
    <col min="10974" max="10974" width="8" style="1" customWidth="1"/>
    <col min="10975" max="10975" width="9.6640625" style="1" customWidth="1"/>
    <col min="10976" max="10976" width="8.5" style="1" customWidth="1"/>
    <col min="10977" max="11214" width="9" style="1"/>
    <col min="11215" max="11215" width="6.6640625" style="1" customWidth="1"/>
    <col min="11216" max="11216" width="6.33203125" style="1" customWidth="1"/>
    <col min="11217" max="11220" width="8" style="1" customWidth="1"/>
    <col min="11221" max="11221" width="7.5" style="1" customWidth="1"/>
    <col min="11222" max="11223" width="8" style="1" customWidth="1"/>
    <col min="11224" max="11225" width="7.6640625" style="1" customWidth="1"/>
    <col min="11226" max="11226" width="9.6640625" style="1" customWidth="1"/>
    <col min="11227" max="11227" width="8.5" style="1" customWidth="1"/>
    <col min="11228" max="11228" width="7.6640625" style="1" customWidth="1"/>
    <col min="11229" max="11229" width="6.33203125" style="1" customWidth="1"/>
    <col min="11230" max="11230" width="8" style="1" customWidth="1"/>
    <col min="11231" max="11231" width="9.6640625" style="1" customWidth="1"/>
    <col min="11232" max="11232" width="8.5" style="1" customWidth="1"/>
    <col min="11233" max="11470" width="9" style="1"/>
    <col min="11471" max="11471" width="6.6640625" style="1" customWidth="1"/>
    <col min="11472" max="11472" width="6.33203125" style="1" customWidth="1"/>
    <col min="11473" max="11476" width="8" style="1" customWidth="1"/>
    <col min="11477" max="11477" width="7.5" style="1" customWidth="1"/>
    <col min="11478" max="11479" width="8" style="1" customWidth="1"/>
    <col min="11480" max="11481" width="7.6640625" style="1" customWidth="1"/>
    <col min="11482" max="11482" width="9.6640625" style="1" customWidth="1"/>
    <col min="11483" max="11483" width="8.5" style="1" customWidth="1"/>
    <col min="11484" max="11484" width="7.6640625" style="1" customWidth="1"/>
    <col min="11485" max="11485" width="6.33203125" style="1" customWidth="1"/>
    <col min="11486" max="11486" width="8" style="1" customWidth="1"/>
    <col min="11487" max="11487" width="9.6640625" style="1" customWidth="1"/>
    <col min="11488" max="11488" width="8.5" style="1" customWidth="1"/>
    <col min="11489" max="11726" width="9" style="1"/>
    <col min="11727" max="11727" width="6.6640625" style="1" customWidth="1"/>
    <col min="11728" max="11728" width="6.33203125" style="1" customWidth="1"/>
    <col min="11729" max="11732" width="8" style="1" customWidth="1"/>
    <col min="11733" max="11733" width="7.5" style="1" customWidth="1"/>
    <col min="11734" max="11735" width="8" style="1" customWidth="1"/>
    <col min="11736" max="11737" width="7.6640625" style="1" customWidth="1"/>
    <col min="11738" max="11738" width="9.6640625" style="1" customWidth="1"/>
    <col min="11739" max="11739" width="8.5" style="1" customWidth="1"/>
    <col min="11740" max="11740" width="7.6640625" style="1" customWidth="1"/>
    <col min="11741" max="11741" width="6.33203125" style="1" customWidth="1"/>
    <col min="11742" max="11742" width="8" style="1" customWidth="1"/>
    <col min="11743" max="11743" width="9.6640625" style="1" customWidth="1"/>
    <col min="11744" max="11744" width="8.5" style="1" customWidth="1"/>
    <col min="11745" max="11982" width="9" style="1"/>
    <col min="11983" max="11983" width="6.6640625" style="1" customWidth="1"/>
    <col min="11984" max="11984" width="6.33203125" style="1" customWidth="1"/>
    <col min="11985" max="11988" width="8" style="1" customWidth="1"/>
    <col min="11989" max="11989" width="7.5" style="1" customWidth="1"/>
    <col min="11990" max="11991" width="8" style="1" customWidth="1"/>
    <col min="11992" max="11993" width="7.6640625" style="1" customWidth="1"/>
    <col min="11994" max="11994" width="9.6640625" style="1" customWidth="1"/>
    <col min="11995" max="11995" width="8.5" style="1" customWidth="1"/>
    <col min="11996" max="11996" width="7.6640625" style="1" customWidth="1"/>
    <col min="11997" max="11997" width="6.33203125" style="1" customWidth="1"/>
    <col min="11998" max="11998" width="8" style="1" customWidth="1"/>
    <col min="11999" max="11999" width="9.6640625" style="1" customWidth="1"/>
    <col min="12000" max="12000" width="8.5" style="1" customWidth="1"/>
    <col min="12001" max="12238" width="9" style="1"/>
    <col min="12239" max="12239" width="6.6640625" style="1" customWidth="1"/>
    <col min="12240" max="12240" width="6.33203125" style="1" customWidth="1"/>
    <col min="12241" max="12244" width="8" style="1" customWidth="1"/>
    <col min="12245" max="12245" width="7.5" style="1" customWidth="1"/>
    <col min="12246" max="12247" width="8" style="1" customWidth="1"/>
    <col min="12248" max="12249" width="7.6640625" style="1" customWidth="1"/>
    <col min="12250" max="12250" width="9.6640625" style="1" customWidth="1"/>
    <col min="12251" max="12251" width="8.5" style="1" customWidth="1"/>
    <col min="12252" max="12252" width="7.6640625" style="1" customWidth="1"/>
    <col min="12253" max="12253" width="6.33203125" style="1" customWidth="1"/>
    <col min="12254" max="12254" width="8" style="1" customWidth="1"/>
    <col min="12255" max="12255" width="9.6640625" style="1" customWidth="1"/>
    <col min="12256" max="12256" width="8.5" style="1" customWidth="1"/>
    <col min="12257" max="12494" width="9" style="1"/>
    <col min="12495" max="12495" width="6.6640625" style="1" customWidth="1"/>
    <col min="12496" max="12496" width="6.33203125" style="1" customWidth="1"/>
    <col min="12497" max="12500" width="8" style="1" customWidth="1"/>
    <col min="12501" max="12501" width="7.5" style="1" customWidth="1"/>
    <col min="12502" max="12503" width="8" style="1" customWidth="1"/>
    <col min="12504" max="12505" width="7.6640625" style="1" customWidth="1"/>
    <col min="12506" max="12506" width="9.6640625" style="1" customWidth="1"/>
    <col min="12507" max="12507" width="8.5" style="1" customWidth="1"/>
    <col min="12508" max="12508" width="7.6640625" style="1" customWidth="1"/>
    <col min="12509" max="12509" width="6.33203125" style="1" customWidth="1"/>
    <col min="12510" max="12510" width="8" style="1" customWidth="1"/>
    <col min="12511" max="12511" width="9.6640625" style="1" customWidth="1"/>
    <col min="12512" max="12512" width="8.5" style="1" customWidth="1"/>
    <col min="12513" max="12750" width="9" style="1"/>
    <col min="12751" max="12751" width="6.6640625" style="1" customWidth="1"/>
    <col min="12752" max="12752" width="6.33203125" style="1" customWidth="1"/>
    <col min="12753" max="12756" width="8" style="1" customWidth="1"/>
    <col min="12757" max="12757" width="7.5" style="1" customWidth="1"/>
    <col min="12758" max="12759" width="8" style="1" customWidth="1"/>
    <col min="12760" max="12761" width="7.6640625" style="1" customWidth="1"/>
    <col min="12762" max="12762" width="9.6640625" style="1" customWidth="1"/>
    <col min="12763" max="12763" width="8.5" style="1" customWidth="1"/>
    <col min="12764" max="12764" width="7.6640625" style="1" customWidth="1"/>
    <col min="12765" max="12765" width="6.33203125" style="1" customWidth="1"/>
    <col min="12766" max="12766" width="8" style="1" customWidth="1"/>
    <col min="12767" max="12767" width="9.6640625" style="1" customWidth="1"/>
    <col min="12768" max="12768" width="8.5" style="1" customWidth="1"/>
    <col min="12769" max="13006" width="9" style="1"/>
    <col min="13007" max="13007" width="6.6640625" style="1" customWidth="1"/>
    <col min="13008" max="13008" width="6.33203125" style="1" customWidth="1"/>
    <col min="13009" max="13012" width="8" style="1" customWidth="1"/>
    <col min="13013" max="13013" width="7.5" style="1" customWidth="1"/>
    <col min="13014" max="13015" width="8" style="1" customWidth="1"/>
    <col min="13016" max="13017" width="7.6640625" style="1" customWidth="1"/>
    <col min="13018" max="13018" width="9.6640625" style="1" customWidth="1"/>
    <col min="13019" max="13019" width="8.5" style="1" customWidth="1"/>
    <col min="13020" max="13020" width="7.6640625" style="1" customWidth="1"/>
    <col min="13021" max="13021" width="6.33203125" style="1" customWidth="1"/>
    <col min="13022" max="13022" width="8" style="1" customWidth="1"/>
    <col min="13023" max="13023" width="9.6640625" style="1" customWidth="1"/>
    <col min="13024" max="13024" width="8.5" style="1" customWidth="1"/>
    <col min="13025" max="13262" width="9" style="1"/>
    <col min="13263" max="13263" width="6.6640625" style="1" customWidth="1"/>
    <col min="13264" max="13264" width="6.33203125" style="1" customWidth="1"/>
    <col min="13265" max="13268" width="8" style="1" customWidth="1"/>
    <col min="13269" max="13269" width="7.5" style="1" customWidth="1"/>
    <col min="13270" max="13271" width="8" style="1" customWidth="1"/>
    <col min="13272" max="13273" width="7.6640625" style="1" customWidth="1"/>
    <col min="13274" max="13274" width="9.6640625" style="1" customWidth="1"/>
    <col min="13275" max="13275" width="8.5" style="1" customWidth="1"/>
    <col min="13276" max="13276" width="7.6640625" style="1" customWidth="1"/>
    <col min="13277" max="13277" width="6.33203125" style="1" customWidth="1"/>
    <col min="13278" max="13278" width="8" style="1" customWidth="1"/>
    <col min="13279" max="13279" width="9.6640625" style="1" customWidth="1"/>
    <col min="13280" max="13280" width="8.5" style="1" customWidth="1"/>
    <col min="13281" max="13518" width="9" style="1"/>
    <col min="13519" max="13519" width="6.6640625" style="1" customWidth="1"/>
    <col min="13520" max="13520" width="6.33203125" style="1" customWidth="1"/>
    <col min="13521" max="13524" width="8" style="1" customWidth="1"/>
    <col min="13525" max="13525" width="7.5" style="1" customWidth="1"/>
    <col min="13526" max="13527" width="8" style="1" customWidth="1"/>
    <col min="13528" max="13529" width="7.6640625" style="1" customWidth="1"/>
    <col min="13530" max="13530" width="9.6640625" style="1" customWidth="1"/>
    <col min="13531" max="13531" width="8.5" style="1" customWidth="1"/>
    <col min="13532" max="13532" width="7.6640625" style="1" customWidth="1"/>
    <col min="13533" max="13533" width="6.33203125" style="1" customWidth="1"/>
    <col min="13534" max="13534" width="8" style="1" customWidth="1"/>
    <col min="13535" max="13535" width="9.6640625" style="1" customWidth="1"/>
    <col min="13536" max="13536" width="8.5" style="1" customWidth="1"/>
    <col min="13537" max="13774" width="9" style="1"/>
    <col min="13775" max="13775" width="6.6640625" style="1" customWidth="1"/>
    <col min="13776" max="13776" width="6.33203125" style="1" customWidth="1"/>
    <col min="13777" max="13780" width="8" style="1" customWidth="1"/>
    <col min="13781" max="13781" width="7.5" style="1" customWidth="1"/>
    <col min="13782" max="13783" width="8" style="1" customWidth="1"/>
    <col min="13784" max="13785" width="7.6640625" style="1" customWidth="1"/>
    <col min="13786" max="13786" width="9.6640625" style="1" customWidth="1"/>
    <col min="13787" max="13787" width="8.5" style="1" customWidth="1"/>
    <col min="13788" max="13788" width="7.6640625" style="1" customWidth="1"/>
    <col min="13789" max="13789" width="6.33203125" style="1" customWidth="1"/>
    <col min="13790" max="13790" width="8" style="1" customWidth="1"/>
    <col min="13791" max="13791" width="9.6640625" style="1" customWidth="1"/>
    <col min="13792" max="13792" width="8.5" style="1" customWidth="1"/>
    <col min="13793" max="14030" width="9" style="1"/>
    <col min="14031" max="14031" width="6.6640625" style="1" customWidth="1"/>
    <col min="14032" max="14032" width="6.33203125" style="1" customWidth="1"/>
    <col min="14033" max="14036" width="8" style="1" customWidth="1"/>
    <col min="14037" max="14037" width="7.5" style="1" customWidth="1"/>
    <col min="14038" max="14039" width="8" style="1" customWidth="1"/>
    <col min="14040" max="14041" width="7.6640625" style="1" customWidth="1"/>
    <col min="14042" max="14042" width="9.6640625" style="1" customWidth="1"/>
    <col min="14043" max="14043" width="8.5" style="1" customWidth="1"/>
    <col min="14044" max="14044" width="7.6640625" style="1" customWidth="1"/>
    <col min="14045" max="14045" width="6.33203125" style="1" customWidth="1"/>
    <col min="14046" max="14046" width="8" style="1" customWidth="1"/>
    <col min="14047" max="14047" width="9.6640625" style="1" customWidth="1"/>
    <col min="14048" max="14048" width="8.5" style="1" customWidth="1"/>
    <col min="14049" max="14286" width="9" style="1"/>
    <col min="14287" max="14287" width="6.6640625" style="1" customWidth="1"/>
    <col min="14288" max="14288" width="6.33203125" style="1" customWidth="1"/>
    <col min="14289" max="14292" width="8" style="1" customWidth="1"/>
    <col min="14293" max="14293" width="7.5" style="1" customWidth="1"/>
    <col min="14294" max="14295" width="8" style="1" customWidth="1"/>
    <col min="14296" max="14297" width="7.6640625" style="1" customWidth="1"/>
    <col min="14298" max="14298" width="9.6640625" style="1" customWidth="1"/>
    <col min="14299" max="14299" width="8.5" style="1" customWidth="1"/>
    <col min="14300" max="14300" width="7.6640625" style="1" customWidth="1"/>
    <col min="14301" max="14301" width="6.33203125" style="1" customWidth="1"/>
    <col min="14302" max="14302" width="8" style="1" customWidth="1"/>
    <col min="14303" max="14303" width="9.6640625" style="1" customWidth="1"/>
    <col min="14304" max="14304" width="8.5" style="1" customWidth="1"/>
    <col min="14305" max="14542" width="9" style="1"/>
    <col min="14543" max="14543" width="6.6640625" style="1" customWidth="1"/>
    <col min="14544" max="14544" width="6.33203125" style="1" customWidth="1"/>
    <col min="14545" max="14548" width="8" style="1" customWidth="1"/>
    <col min="14549" max="14549" width="7.5" style="1" customWidth="1"/>
    <col min="14550" max="14551" width="8" style="1" customWidth="1"/>
    <col min="14552" max="14553" width="7.6640625" style="1" customWidth="1"/>
    <col min="14554" max="14554" width="9.6640625" style="1" customWidth="1"/>
    <col min="14555" max="14555" width="8.5" style="1" customWidth="1"/>
    <col min="14556" max="14556" width="7.6640625" style="1" customWidth="1"/>
    <col min="14557" max="14557" width="6.33203125" style="1" customWidth="1"/>
    <col min="14558" max="14558" width="8" style="1" customWidth="1"/>
    <col min="14559" max="14559" width="9.6640625" style="1" customWidth="1"/>
    <col min="14560" max="14560" width="8.5" style="1" customWidth="1"/>
    <col min="14561" max="14798" width="9" style="1"/>
    <col min="14799" max="14799" width="6.6640625" style="1" customWidth="1"/>
    <col min="14800" max="14800" width="6.33203125" style="1" customWidth="1"/>
    <col min="14801" max="14804" width="8" style="1" customWidth="1"/>
    <col min="14805" max="14805" width="7.5" style="1" customWidth="1"/>
    <col min="14806" max="14807" width="8" style="1" customWidth="1"/>
    <col min="14808" max="14809" width="7.6640625" style="1" customWidth="1"/>
    <col min="14810" max="14810" width="9.6640625" style="1" customWidth="1"/>
    <col min="14811" max="14811" width="8.5" style="1" customWidth="1"/>
    <col min="14812" max="14812" width="7.6640625" style="1" customWidth="1"/>
    <col min="14813" max="14813" width="6.33203125" style="1" customWidth="1"/>
    <col min="14814" max="14814" width="8" style="1" customWidth="1"/>
    <col min="14815" max="14815" width="9.6640625" style="1" customWidth="1"/>
    <col min="14816" max="14816" width="8.5" style="1" customWidth="1"/>
    <col min="14817" max="15054" width="9" style="1"/>
    <col min="15055" max="15055" width="6.6640625" style="1" customWidth="1"/>
    <col min="15056" max="15056" width="6.33203125" style="1" customWidth="1"/>
    <col min="15057" max="15060" width="8" style="1" customWidth="1"/>
    <col min="15061" max="15061" width="7.5" style="1" customWidth="1"/>
    <col min="15062" max="15063" width="8" style="1" customWidth="1"/>
    <col min="15064" max="15065" width="7.6640625" style="1" customWidth="1"/>
    <col min="15066" max="15066" width="9.6640625" style="1" customWidth="1"/>
    <col min="15067" max="15067" width="8.5" style="1" customWidth="1"/>
    <col min="15068" max="15068" width="7.6640625" style="1" customWidth="1"/>
    <col min="15069" max="15069" width="6.33203125" style="1" customWidth="1"/>
    <col min="15070" max="15070" width="8" style="1" customWidth="1"/>
    <col min="15071" max="15071" width="9.6640625" style="1" customWidth="1"/>
    <col min="15072" max="15072" width="8.5" style="1" customWidth="1"/>
    <col min="15073" max="15310" width="9" style="1"/>
    <col min="15311" max="15311" width="6.6640625" style="1" customWidth="1"/>
    <col min="15312" max="15312" width="6.33203125" style="1" customWidth="1"/>
    <col min="15313" max="15316" width="8" style="1" customWidth="1"/>
    <col min="15317" max="15317" width="7.5" style="1" customWidth="1"/>
    <col min="15318" max="15319" width="8" style="1" customWidth="1"/>
    <col min="15320" max="15321" width="7.6640625" style="1" customWidth="1"/>
    <col min="15322" max="15322" width="9.6640625" style="1" customWidth="1"/>
    <col min="15323" max="15323" width="8.5" style="1" customWidth="1"/>
    <col min="15324" max="15324" width="7.6640625" style="1" customWidth="1"/>
    <col min="15325" max="15325" width="6.33203125" style="1" customWidth="1"/>
    <col min="15326" max="15326" width="8" style="1" customWidth="1"/>
    <col min="15327" max="15327" width="9.6640625" style="1" customWidth="1"/>
    <col min="15328" max="15328" width="8.5" style="1" customWidth="1"/>
    <col min="15329" max="15566" width="9" style="1"/>
    <col min="15567" max="15567" width="6.6640625" style="1" customWidth="1"/>
    <col min="15568" max="15568" width="6.33203125" style="1" customWidth="1"/>
    <col min="15569" max="15572" width="8" style="1" customWidth="1"/>
    <col min="15573" max="15573" width="7.5" style="1" customWidth="1"/>
    <col min="15574" max="15575" width="8" style="1" customWidth="1"/>
    <col min="15576" max="15577" width="7.6640625" style="1" customWidth="1"/>
    <col min="15578" max="15578" width="9.6640625" style="1" customWidth="1"/>
    <col min="15579" max="15579" width="8.5" style="1" customWidth="1"/>
    <col min="15580" max="15580" width="7.6640625" style="1" customWidth="1"/>
    <col min="15581" max="15581" width="6.33203125" style="1" customWidth="1"/>
    <col min="15582" max="15582" width="8" style="1" customWidth="1"/>
    <col min="15583" max="15583" width="9.6640625" style="1" customWidth="1"/>
    <col min="15584" max="15584" width="8.5" style="1" customWidth="1"/>
    <col min="15585" max="15822" width="9" style="1"/>
    <col min="15823" max="15823" width="6.6640625" style="1" customWidth="1"/>
    <col min="15824" max="15824" width="6.33203125" style="1" customWidth="1"/>
    <col min="15825" max="15828" width="8" style="1" customWidth="1"/>
    <col min="15829" max="15829" width="7.5" style="1" customWidth="1"/>
    <col min="15830" max="15831" width="8" style="1" customWidth="1"/>
    <col min="15832" max="15833" width="7.6640625" style="1" customWidth="1"/>
    <col min="15834" max="15834" width="9.6640625" style="1" customWidth="1"/>
    <col min="15835" max="15835" width="8.5" style="1" customWidth="1"/>
    <col min="15836" max="15836" width="7.6640625" style="1" customWidth="1"/>
    <col min="15837" max="15837" width="6.33203125" style="1" customWidth="1"/>
    <col min="15838" max="15838" width="8" style="1" customWidth="1"/>
    <col min="15839" max="15839" width="9.6640625" style="1" customWidth="1"/>
    <col min="15840" max="15840" width="8.5" style="1" customWidth="1"/>
    <col min="15841" max="16078" width="9" style="1"/>
    <col min="16079" max="16079" width="6.6640625" style="1" customWidth="1"/>
    <col min="16080" max="16080" width="6.33203125" style="1" customWidth="1"/>
    <col min="16081" max="16084" width="8" style="1" customWidth="1"/>
    <col min="16085" max="16085" width="7.5" style="1" customWidth="1"/>
    <col min="16086" max="16087" width="8" style="1" customWidth="1"/>
    <col min="16088" max="16089" width="7.6640625" style="1" customWidth="1"/>
    <col min="16090" max="16090" width="9.6640625" style="1" customWidth="1"/>
    <col min="16091" max="16091" width="8.5" style="1" customWidth="1"/>
    <col min="16092" max="16092" width="7.6640625" style="1" customWidth="1"/>
    <col min="16093" max="16093" width="6.33203125" style="1" customWidth="1"/>
    <col min="16094" max="16094" width="8" style="1" customWidth="1"/>
    <col min="16095" max="16095" width="9.6640625" style="1" customWidth="1"/>
    <col min="16096" max="16096" width="8.5" style="1" customWidth="1"/>
    <col min="16097" max="16384" width="9" style="1"/>
  </cols>
  <sheetData>
    <row r="1" spans="1:15" ht="33" customHeight="1">
      <c r="A1" s="14" t="s">
        <v>38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8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N2" s="1"/>
      <c r="O2" s="3" t="s">
        <v>0</v>
      </c>
    </row>
    <row r="3" spans="1:15" s="7" customFormat="1" ht="32">
      <c r="A3" s="15" t="s">
        <v>1</v>
      </c>
      <c r="B3" s="15" t="s">
        <v>24</v>
      </c>
      <c r="C3" s="15" t="s">
        <v>25</v>
      </c>
      <c r="D3" s="16" t="s">
        <v>3</v>
      </c>
      <c r="E3" s="15" t="s">
        <v>4</v>
      </c>
      <c r="F3" s="15" t="s">
        <v>5</v>
      </c>
      <c r="G3" s="15" t="s">
        <v>20</v>
      </c>
      <c r="H3" s="15" t="s">
        <v>8</v>
      </c>
      <c r="I3" s="15" t="s">
        <v>9</v>
      </c>
      <c r="J3" s="15" t="s">
        <v>10</v>
      </c>
      <c r="K3" s="15" t="s">
        <v>11</v>
      </c>
      <c r="L3" s="15" t="s">
        <v>12</v>
      </c>
      <c r="M3" s="15" t="s">
        <v>21</v>
      </c>
      <c r="N3" s="15" t="s">
        <v>22</v>
      </c>
      <c r="O3" s="17" t="s">
        <v>15</v>
      </c>
    </row>
    <row r="4" spans="1:15" ht="20.25" customHeight="1">
      <c r="A4" s="9" t="s">
        <v>16</v>
      </c>
      <c r="B4" s="8">
        <v>28333</v>
      </c>
      <c r="C4" s="8"/>
      <c r="D4" s="8">
        <v>0</v>
      </c>
      <c r="E4" s="8">
        <v>3400</v>
      </c>
      <c r="F4" s="8">
        <v>600</v>
      </c>
      <c r="G4" s="8"/>
      <c r="H4" s="8">
        <v>-125.33</v>
      </c>
      <c r="I4" s="8">
        <v>-21</v>
      </c>
      <c r="J4" s="8">
        <v>-501.3</v>
      </c>
      <c r="K4" s="8">
        <v>-2005.2</v>
      </c>
      <c r="L4" s="8">
        <v>-3343</v>
      </c>
      <c r="M4" s="8">
        <v>0</v>
      </c>
      <c r="N4" s="8">
        <v>-5219.29</v>
      </c>
      <c r="O4" s="10">
        <v>21117.879999999997</v>
      </c>
    </row>
    <row r="5" spans="1:15" ht="18" customHeight="1">
      <c r="A5" s="9" t="s">
        <v>16</v>
      </c>
      <c r="B5" s="8">
        <v>27083</v>
      </c>
      <c r="C5" s="8"/>
      <c r="D5" s="8">
        <v>0</v>
      </c>
      <c r="E5" s="8">
        <v>3200</v>
      </c>
      <c r="F5" s="8">
        <v>500</v>
      </c>
      <c r="G5" s="8"/>
      <c r="H5" s="8">
        <v>-125.33</v>
      </c>
      <c r="I5" s="8">
        <v>-21</v>
      </c>
      <c r="J5" s="8">
        <v>-501.3</v>
      </c>
      <c r="K5" s="8">
        <v>-2005.2</v>
      </c>
      <c r="L5" s="8">
        <v>-3343</v>
      </c>
      <c r="M5" s="8">
        <v>0</v>
      </c>
      <c r="N5" s="8">
        <v>-4184.95</v>
      </c>
      <c r="O5" s="10">
        <v>20602.219999999998</v>
      </c>
    </row>
    <row r="6" spans="1:15" ht="18" customHeight="1">
      <c r="A6" s="9" t="s">
        <v>17</v>
      </c>
      <c r="B6" s="8"/>
      <c r="C6" s="8">
        <v>10821.5</v>
      </c>
      <c r="D6" s="8">
        <v>8657.2000000000007</v>
      </c>
      <c r="E6" s="8">
        <v>0</v>
      </c>
      <c r="F6" s="8">
        <v>0</v>
      </c>
      <c r="G6" s="8"/>
      <c r="H6" s="8">
        <v>-108.3</v>
      </c>
      <c r="I6" s="8">
        <v>-21</v>
      </c>
      <c r="J6" s="8">
        <v>-433.2</v>
      </c>
      <c r="K6" s="8">
        <v>-1732.8</v>
      </c>
      <c r="L6" s="8">
        <v>-2599</v>
      </c>
      <c r="M6" s="8">
        <v>0</v>
      </c>
      <c r="N6" s="8">
        <v>-808.44</v>
      </c>
      <c r="O6" s="10">
        <v>13775.960000000001</v>
      </c>
    </row>
    <row r="7" spans="1:15" ht="18" customHeight="1">
      <c r="A7" s="9" t="s">
        <v>17</v>
      </c>
      <c r="B7" s="8"/>
      <c r="C7" s="8">
        <v>11246</v>
      </c>
      <c r="D7" s="8">
        <v>8996.8000000000011</v>
      </c>
      <c r="E7" s="8">
        <v>0</v>
      </c>
      <c r="F7" s="8">
        <v>0</v>
      </c>
      <c r="G7" s="8"/>
      <c r="H7" s="8">
        <v>-112.55</v>
      </c>
      <c r="I7" s="8">
        <v>-21</v>
      </c>
      <c r="J7" s="8">
        <v>-450.18</v>
      </c>
      <c r="K7" s="8">
        <v>-1800.72</v>
      </c>
      <c r="L7" s="8">
        <v>-2701</v>
      </c>
      <c r="M7" s="8">
        <v>0</v>
      </c>
      <c r="N7" s="8">
        <v>-715.74</v>
      </c>
      <c r="O7" s="10">
        <v>14441.610000000002</v>
      </c>
    </row>
    <row r="8" spans="1:15" ht="18" customHeight="1">
      <c r="A8" s="9" t="s">
        <v>18</v>
      </c>
      <c r="B8" s="8"/>
      <c r="C8" s="8">
        <v>6250</v>
      </c>
      <c r="D8" s="8">
        <v>5500.0000000000009</v>
      </c>
      <c r="E8" s="8">
        <v>0</v>
      </c>
      <c r="F8" s="8">
        <v>0</v>
      </c>
      <c r="G8" s="8"/>
      <c r="H8" s="8">
        <v>-93.84</v>
      </c>
      <c r="I8" s="8">
        <v>-21</v>
      </c>
      <c r="J8" s="8">
        <v>-375.34</v>
      </c>
      <c r="K8" s="8">
        <v>-1501.36</v>
      </c>
      <c r="L8" s="8">
        <v>-3343</v>
      </c>
      <c r="M8" s="8">
        <v>0</v>
      </c>
      <c r="N8" s="8">
        <v>0</v>
      </c>
      <c r="O8" s="10">
        <v>6415.4599999999991</v>
      </c>
    </row>
    <row r="9" spans="1:15" ht="18" customHeight="1">
      <c r="A9" s="9" t="s">
        <v>17</v>
      </c>
      <c r="B9" s="8"/>
      <c r="C9" s="8">
        <v>12500</v>
      </c>
      <c r="D9" s="8">
        <v>10000</v>
      </c>
      <c r="E9" s="8">
        <v>0</v>
      </c>
      <c r="F9" s="8">
        <v>0</v>
      </c>
      <c r="G9" s="8"/>
      <c r="H9" s="8">
        <v>-125.33</v>
      </c>
      <c r="I9" s="8">
        <v>-21</v>
      </c>
      <c r="J9" s="8">
        <v>-501.3</v>
      </c>
      <c r="K9" s="8">
        <v>-2005.2</v>
      </c>
      <c r="L9" s="8">
        <v>-3012</v>
      </c>
      <c r="M9" s="8">
        <v>0</v>
      </c>
      <c r="N9" s="8">
        <v>-883.52</v>
      </c>
      <c r="O9" s="10">
        <v>15951.649999999998</v>
      </c>
    </row>
    <row r="10" spans="1:15" ht="18" customHeight="1">
      <c r="A10" s="9" t="s">
        <v>17</v>
      </c>
      <c r="B10" s="8"/>
      <c r="C10" s="8">
        <v>9494</v>
      </c>
      <c r="D10" s="8">
        <v>7595.2000000000007</v>
      </c>
      <c r="E10" s="8">
        <v>0</v>
      </c>
      <c r="F10" s="8">
        <v>0</v>
      </c>
      <c r="G10" s="8"/>
      <c r="H10" s="8">
        <v>-95.03</v>
      </c>
      <c r="I10" s="8">
        <v>-21</v>
      </c>
      <c r="J10" s="8">
        <v>-380.1</v>
      </c>
      <c r="K10" s="8">
        <v>-1520.4</v>
      </c>
      <c r="L10" s="8">
        <v>-2281</v>
      </c>
      <c r="M10" s="8">
        <v>0</v>
      </c>
      <c r="N10" s="8">
        <v>-38.75</v>
      </c>
      <c r="O10" s="10">
        <v>12752.920000000004</v>
      </c>
    </row>
    <row r="11" spans="1:15" ht="18" customHeight="1">
      <c r="A11" s="9" t="s">
        <v>17</v>
      </c>
      <c r="B11" s="8"/>
      <c r="C11" s="8">
        <v>11870.5</v>
      </c>
      <c r="D11" s="8">
        <v>9496.4</v>
      </c>
      <c r="E11" s="8">
        <v>0</v>
      </c>
      <c r="F11" s="8">
        <v>0</v>
      </c>
      <c r="G11" s="8"/>
      <c r="H11" s="8">
        <v>-118.79</v>
      </c>
      <c r="I11" s="8">
        <v>-21</v>
      </c>
      <c r="J11" s="8">
        <v>-475.16</v>
      </c>
      <c r="K11" s="8">
        <v>-1900.64</v>
      </c>
      <c r="L11" s="8">
        <v>-2851</v>
      </c>
      <c r="M11" s="8">
        <v>0</v>
      </c>
      <c r="N11" s="8">
        <v>-499.9</v>
      </c>
      <c r="O11" s="10">
        <v>15500.410000000002</v>
      </c>
    </row>
    <row r="12" spans="1:15" ht="18" customHeight="1">
      <c r="A12" s="9" t="s">
        <v>17</v>
      </c>
      <c r="B12" s="8"/>
      <c r="C12" s="8">
        <v>11500</v>
      </c>
      <c r="D12" s="8">
        <v>9200</v>
      </c>
      <c r="E12" s="8">
        <v>0</v>
      </c>
      <c r="F12" s="8">
        <v>0</v>
      </c>
      <c r="G12" s="8"/>
      <c r="H12" s="8">
        <v>-115.97</v>
      </c>
      <c r="I12" s="8">
        <v>-21</v>
      </c>
      <c r="J12" s="8">
        <v>-463.86</v>
      </c>
      <c r="K12" s="8">
        <v>-1855.44</v>
      </c>
      <c r="L12" s="8">
        <v>-2783</v>
      </c>
      <c r="M12" s="8">
        <v>0</v>
      </c>
      <c r="N12" s="8">
        <v>-596.07000000000005</v>
      </c>
      <c r="O12" s="10">
        <v>14864.66</v>
      </c>
    </row>
    <row r="13" spans="1:15" ht="18" customHeight="1">
      <c r="A13" s="9" t="s">
        <v>17</v>
      </c>
      <c r="B13" s="8"/>
      <c r="C13" s="8">
        <v>10600</v>
      </c>
      <c r="D13" s="8">
        <v>8480</v>
      </c>
      <c r="E13" s="8">
        <v>0</v>
      </c>
      <c r="F13" s="8">
        <v>0</v>
      </c>
      <c r="G13" s="8"/>
      <c r="H13" s="8">
        <v>-125.33</v>
      </c>
      <c r="I13" s="8">
        <v>-21</v>
      </c>
      <c r="J13" s="8">
        <v>-501.3</v>
      </c>
      <c r="K13" s="8">
        <v>-2005.2</v>
      </c>
      <c r="L13" s="8">
        <v>-3343</v>
      </c>
      <c r="M13" s="8">
        <v>0</v>
      </c>
      <c r="N13" s="8">
        <v>-712.41</v>
      </c>
      <c r="O13" s="10">
        <v>12371.759999999998</v>
      </c>
    </row>
    <row r="14" spans="1:15" ht="18" customHeight="1">
      <c r="A14" s="9" t="s">
        <v>19</v>
      </c>
      <c r="B14" s="8"/>
      <c r="C14" s="8">
        <v>4250</v>
      </c>
      <c r="D14" s="8">
        <v>3740</v>
      </c>
      <c r="E14" s="8">
        <v>0</v>
      </c>
      <c r="F14" s="8">
        <v>0</v>
      </c>
      <c r="G14" s="8"/>
      <c r="H14" s="8">
        <v>-42.5</v>
      </c>
      <c r="I14" s="8">
        <v>-21</v>
      </c>
      <c r="J14" s="8">
        <v>-170</v>
      </c>
      <c r="K14" s="8">
        <v>-680</v>
      </c>
      <c r="L14" s="8">
        <v>-1020</v>
      </c>
      <c r="M14" s="8">
        <v>0</v>
      </c>
      <c r="N14" s="8">
        <v>-31.7</v>
      </c>
      <c r="O14" s="10">
        <v>6024.8</v>
      </c>
    </row>
    <row r="15" spans="1:15" ht="18" customHeight="1">
      <c r="A15" s="9" t="s">
        <v>17</v>
      </c>
      <c r="B15" s="8"/>
      <c r="C15" s="8">
        <v>12500</v>
      </c>
      <c r="D15" s="8">
        <v>10000</v>
      </c>
      <c r="E15" s="8">
        <v>0</v>
      </c>
      <c r="F15" s="8">
        <v>0</v>
      </c>
      <c r="G15" s="8"/>
      <c r="H15" s="8">
        <v>-125</v>
      </c>
      <c r="I15" s="8">
        <v>-21</v>
      </c>
      <c r="J15" s="8">
        <v>-500</v>
      </c>
      <c r="K15" s="8">
        <v>-2000</v>
      </c>
      <c r="L15" s="8">
        <v>-3000</v>
      </c>
      <c r="M15" s="8">
        <v>0</v>
      </c>
      <c r="N15" s="8">
        <v>-1185.4000000000001</v>
      </c>
      <c r="O15" s="10">
        <v>15668.6</v>
      </c>
    </row>
    <row r="16" spans="1:15" ht="18" customHeight="1">
      <c r="A16" s="9" t="s">
        <v>17</v>
      </c>
      <c r="B16" s="8"/>
      <c r="C16" s="8">
        <v>10000</v>
      </c>
      <c r="D16" s="8">
        <v>7652.2</v>
      </c>
      <c r="E16" s="8">
        <v>0</v>
      </c>
      <c r="F16" s="8">
        <v>0</v>
      </c>
      <c r="G16" s="8">
        <v>-434</v>
      </c>
      <c r="H16" s="8">
        <v>-100</v>
      </c>
      <c r="I16" s="8">
        <v>-21</v>
      </c>
      <c r="J16" s="8">
        <v>-400</v>
      </c>
      <c r="K16" s="8">
        <v>-1600</v>
      </c>
      <c r="L16" s="8">
        <v>-2400</v>
      </c>
      <c r="M16" s="8">
        <v>0</v>
      </c>
      <c r="N16" s="8">
        <v>-230.92</v>
      </c>
      <c r="O16" s="10">
        <v>12466.28</v>
      </c>
    </row>
    <row r="17" spans="1:15" ht="17.25" customHeight="1">
      <c r="A17" s="9" t="s">
        <v>17</v>
      </c>
      <c r="B17" s="8"/>
      <c r="C17" s="8">
        <v>7500</v>
      </c>
      <c r="D17" s="8">
        <v>3391.3</v>
      </c>
      <c r="E17" s="8">
        <v>0</v>
      </c>
      <c r="F17" s="8">
        <v>0</v>
      </c>
      <c r="G17" s="8">
        <v>-2660</v>
      </c>
      <c r="H17" s="8">
        <v>-75</v>
      </c>
      <c r="I17" s="8">
        <v>-21</v>
      </c>
      <c r="J17" s="8">
        <v>-300</v>
      </c>
      <c r="K17" s="8">
        <v>-1200</v>
      </c>
      <c r="L17" s="8">
        <v>-1800</v>
      </c>
      <c r="M17" s="8">
        <v>0</v>
      </c>
      <c r="N17" s="8">
        <v>0</v>
      </c>
      <c r="O17" s="10">
        <v>4835.2999999999993</v>
      </c>
    </row>
    <row r="18" spans="1:15">
      <c r="A18" s="13" t="s">
        <v>23</v>
      </c>
      <c r="B18" s="11">
        <v>55416</v>
      </c>
      <c r="C18" s="11">
        <v>118532</v>
      </c>
      <c r="D18" s="11">
        <v>92709.1</v>
      </c>
      <c r="E18" s="11">
        <v>6600</v>
      </c>
      <c r="F18" s="11">
        <v>1100</v>
      </c>
      <c r="G18" s="11">
        <v>-3094</v>
      </c>
      <c r="H18" s="11">
        <v>-1488.3</v>
      </c>
      <c r="I18" s="11">
        <v>-294</v>
      </c>
      <c r="J18" s="11">
        <v>-5953.04</v>
      </c>
      <c r="K18" s="11">
        <v>-23812.16</v>
      </c>
      <c r="L18" s="11">
        <v>-37819</v>
      </c>
      <c r="M18" s="11">
        <v>0</v>
      </c>
      <c r="N18" s="11">
        <v>-15107.09</v>
      </c>
      <c r="O18" s="11">
        <v>186789.50999999998</v>
      </c>
    </row>
    <row r="19" spans="1:15" ht="16">
      <c r="F19" s="20"/>
      <c r="G19" s="20"/>
      <c r="M19" s="12"/>
      <c r="N19" s="1"/>
    </row>
    <row r="20" spans="1:15">
      <c r="M20" s="12"/>
      <c r="N20" s="1"/>
    </row>
    <row r="21" spans="1:15">
      <c r="M21" s="12"/>
      <c r="N21" s="1"/>
    </row>
    <row r="22" spans="1:15">
      <c r="M22" s="12"/>
      <c r="N22" s="1"/>
    </row>
  </sheetData>
  <mergeCells count="1">
    <mergeCell ref="F19:G19"/>
  </mergeCells>
  <phoneticPr fontId="4" type="noConversion"/>
  <pageMargins left="0.31496062992126" right="0.196850393700787" top="0.74803149606299202" bottom="0.74803149606299202" header="0.31496062992126" footer="0.31496062992126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58D1-A772-47C7-B51A-8F20B0ED3460}">
  <sheetPr>
    <tabColor rgb="FFFFC000"/>
  </sheetPr>
  <dimension ref="A1:P22"/>
  <sheetViews>
    <sheetView workbookViewId="0"/>
  </sheetViews>
  <sheetFormatPr baseColWidth="10" defaultColWidth="9" defaultRowHeight="15"/>
  <cols>
    <col min="1" max="1" width="21.33203125" style="1" bestFit="1" customWidth="1"/>
    <col min="2" max="2" width="10.5" style="1" bestFit="1" customWidth="1"/>
    <col min="3" max="3" width="10.6640625" style="1" customWidth="1"/>
    <col min="4" max="4" width="8.83203125" style="1" customWidth="1"/>
    <col min="5" max="6" width="9.83203125" style="1" customWidth="1"/>
    <col min="7" max="7" width="9.5" style="1" customWidth="1"/>
    <col min="8" max="8" width="10.6640625" style="1" customWidth="1"/>
    <col min="9" max="9" width="9.1640625" style="1" customWidth="1"/>
    <col min="10" max="10" width="11.6640625" style="1" customWidth="1"/>
    <col min="11" max="12" width="10.6640625" style="1" customWidth="1"/>
    <col min="13" max="13" width="10.6640625" style="1" hidden="1" customWidth="1"/>
    <col min="14" max="14" width="10.6640625" style="12" customWidth="1"/>
    <col min="15" max="15" width="12.1640625" style="1" customWidth="1"/>
    <col min="16" max="206" width="9" style="1"/>
    <col min="207" max="207" width="6.6640625" style="1" customWidth="1"/>
    <col min="208" max="208" width="6.33203125" style="1" customWidth="1"/>
    <col min="209" max="212" width="8" style="1" customWidth="1"/>
    <col min="213" max="213" width="7.5" style="1" customWidth="1"/>
    <col min="214" max="215" width="8" style="1" customWidth="1"/>
    <col min="216" max="217" width="7.6640625" style="1" customWidth="1"/>
    <col min="218" max="218" width="9.6640625" style="1" customWidth="1"/>
    <col min="219" max="219" width="8.5" style="1" customWidth="1"/>
    <col min="220" max="220" width="7.6640625" style="1" customWidth="1"/>
    <col min="221" max="221" width="6.33203125" style="1" customWidth="1"/>
    <col min="222" max="222" width="8" style="1" customWidth="1"/>
    <col min="223" max="223" width="9.6640625" style="1" customWidth="1"/>
    <col min="224" max="224" width="8.5" style="1" customWidth="1"/>
    <col min="225" max="462" width="9" style="1"/>
    <col min="463" max="463" width="6.6640625" style="1" customWidth="1"/>
    <col min="464" max="464" width="6.33203125" style="1" customWidth="1"/>
    <col min="465" max="468" width="8" style="1" customWidth="1"/>
    <col min="469" max="469" width="7.5" style="1" customWidth="1"/>
    <col min="470" max="471" width="8" style="1" customWidth="1"/>
    <col min="472" max="473" width="7.6640625" style="1" customWidth="1"/>
    <col min="474" max="474" width="9.6640625" style="1" customWidth="1"/>
    <col min="475" max="475" width="8.5" style="1" customWidth="1"/>
    <col min="476" max="476" width="7.6640625" style="1" customWidth="1"/>
    <col min="477" max="477" width="6.33203125" style="1" customWidth="1"/>
    <col min="478" max="478" width="8" style="1" customWidth="1"/>
    <col min="479" max="479" width="9.6640625" style="1" customWidth="1"/>
    <col min="480" max="480" width="8.5" style="1" customWidth="1"/>
    <col min="481" max="718" width="9" style="1"/>
    <col min="719" max="719" width="6.6640625" style="1" customWidth="1"/>
    <col min="720" max="720" width="6.33203125" style="1" customWidth="1"/>
    <col min="721" max="724" width="8" style="1" customWidth="1"/>
    <col min="725" max="725" width="7.5" style="1" customWidth="1"/>
    <col min="726" max="727" width="8" style="1" customWidth="1"/>
    <col min="728" max="729" width="7.6640625" style="1" customWidth="1"/>
    <col min="730" max="730" width="9.6640625" style="1" customWidth="1"/>
    <col min="731" max="731" width="8.5" style="1" customWidth="1"/>
    <col min="732" max="732" width="7.6640625" style="1" customWidth="1"/>
    <col min="733" max="733" width="6.33203125" style="1" customWidth="1"/>
    <col min="734" max="734" width="8" style="1" customWidth="1"/>
    <col min="735" max="735" width="9.6640625" style="1" customWidth="1"/>
    <col min="736" max="736" width="8.5" style="1" customWidth="1"/>
    <col min="737" max="974" width="9" style="1"/>
    <col min="975" max="975" width="6.6640625" style="1" customWidth="1"/>
    <col min="976" max="976" width="6.33203125" style="1" customWidth="1"/>
    <col min="977" max="980" width="8" style="1" customWidth="1"/>
    <col min="981" max="981" width="7.5" style="1" customWidth="1"/>
    <col min="982" max="983" width="8" style="1" customWidth="1"/>
    <col min="984" max="985" width="7.6640625" style="1" customWidth="1"/>
    <col min="986" max="986" width="9.6640625" style="1" customWidth="1"/>
    <col min="987" max="987" width="8.5" style="1" customWidth="1"/>
    <col min="988" max="988" width="7.6640625" style="1" customWidth="1"/>
    <col min="989" max="989" width="6.33203125" style="1" customWidth="1"/>
    <col min="990" max="990" width="8" style="1" customWidth="1"/>
    <col min="991" max="991" width="9.6640625" style="1" customWidth="1"/>
    <col min="992" max="992" width="8.5" style="1" customWidth="1"/>
    <col min="993" max="1230" width="9" style="1"/>
    <col min="1231" max="1231" width="6.6640625" style="1" customWidth="1"/>
    <col min="1232" max="1232" width="6.33203125" style="1" customWidth="1"/>
    <col min="1233" max="1236" width="8" style="1" customWidth="1"/>
    <col min="1237" max="1237" width="7.5" style="1" customWidth="1"/>
    <col min="1238" max="1239" width="8" style="1" customWidth="1"/>
    <col min="1240" max="1241" width="7.6640625" style="1" customWidth="1"/>
    <col min="1242" max="1242" width="9.6640625" style="1" customWidth="1"/>
    <col min="1243" max="1243" width="8.5" style="1" customWidth="1"/>
    <col min="1244" max="1244" width="7.6640625" style="1" customWidth="1"/>
    <col min="1245" max="1245" width="6.33203125" style="1" customWidth="1"/>
    <col min="1246" max="1246" width="8" style="1" customWidth="1"/>
    <col min="1247" max="1247" width="9.6640625" style="1" customWidth="1"/>
    <col min="1248" max="1248" width="8.5" style="1" customWidth="1"/>
    <col min="1249" max="1486" width="9" style="1"/>
    <col min="1487" max="1487" width="6.6640625" style="1" customWidth="1"/>
    <col min="1488" max="1488" width="6.33203125" style="1" customWidth="1"/>
    <col min="1489" max="1492" width="8" style="1" customWidth="1"/>
    <col min="1493" max="1493" width="7.5" style="1" customWidth="1"/>
    <col min="1494" max="1495" width="8" style="1" customWidth="1"/>
    <col min="1496" max="1497" width="7.6640625" style="1" customWidth="1"/>
    <col min="1498" max="1498" width="9.6640625" style="1" customWidth="1"/>
    <col min="1499" max="1499" width="8.5" style="1" customWidth="1"/>
    <col min="1500" max="1500" width="7.6640625" style="1" customWidth="1"/>
    <col min="1501" max="1501" width="6.33203125" style="1" customWidth="1"/>
    <col min="1502" max="1502" width="8" style="1" customWidth="1"/>
    <col min="1503" max="1503" width="9.6640625" style="1" customWidth="1"/>
    <col min="1504" max="1504" width="8.5" style="1" customWidth="1"/>
    <col min="1505" max="1742" width="9" style="1"/>
    <col min="1743" max="1743" width="6.6640625" style="1" customWidth="1"/>
    <col min="1744" max="1744" width="6.33203125" style="1" customWidth="1"/>
    <col min="1745" max="1748" width="8" style="1" customWidth="1"/>
    <col min="1749" max="1749" width="7.5" style="1" customWidth="1"/>
    <col min="1750" max="1751" width="8" style="1" customWidth="1"/>
    <col min="1752" max="1753" width="7.6640625" style="1" customWidth="1"/>
    <col min="1754" max="1754" width="9.6640625" style="1" customWidth="1"/>
    <col min="1755" max="1755" width="8.5" style="1" customWidth="1"/>
    <col min="1756" max="1756" width="7.6640625" style="1" customWidth="1"/>
    <col min="1757" max="1757" width="6.33203125" style="1" customWidth="1"/>
    <col min="1758" max="1758" width="8" style="1" customWidth="1"/>
    <col min="1759" max="1759" width="9.6640625" style="1" customWidth="1"/>
    <col min="1760" max="1760" width="8.5" style="1" customWidth="1"/>
    <col min="1761" max="1998" width="9" style="1"/>
    <col min="1999" max="1999" width="6.6640625" style="1" customWidth="1"/>
    <col min="2000" max="2000" width="6.33203125" style="1" customWidth="1"/>
    <col min="2001" max="2004" width="8" style="1" customWidth="1"/>
    <col min="2005" max="2005" width="7.5" style="1" customWidth="1"/>
    <col min="2006" max="2007" width="8" style="1" customWidth="1"/>
    <col min="2008" max="2009" width="7.6640625" style="1" customWidth="1"/>
    <col min="2010" max="2010" width="9.6640625" style="1" customWidth="1"/>
    <col min="2011" max="2011" width="8.5" style="1" customWidth="1"/>
    <col min="2012" max="2012" width="7.6640625" style="1" customWidth="1"/>
    <col min="2013" max="2013" width="6.33203125" style="1" customWidth="1"/>
    <col min="2014" max="2014" width="8" style="1" customWidth="1"/>
    <col min="2015" max="2015" width="9.6640625" style="1" customWidth="1"/>
    <col min="2016" max="2016" width="8.5" style="1" customWidth="1"/>
    <col min="2017" max="2254" width="9" style="1"/>
    <col min="2255" max="2255" width="6.6640625" style="1" customWidth="1"/>
    <col min="2256" max="2256" width="6.33203125" style="1" customWidth="1"/>
    <col min="2257" max="2260" width="8" style="1" customWidth="1"/>
    <col min="2261" max="2261" width="7.5" style="1" customWidth="1"/>
    <col min="2262" max="2263" width="8" style="1" customWidth="1"/>
    <col min="2264" max="2265" width="7.6640625" style="1" customWidth="1"/>
    <col min="2266" max="2266" width="9.6640625" style="1" customWidth="1"/>
    <col min="2267" max="2267" width="8.5" style="1" customWidth="1"/>
    <col min="2268" max="2268" width="7.6640625" style="1" customWidth="1"/>
    <col min="2269" max="2269" width="6.33203125" style="1" customWidth="1"/>
    <col min="2270" max="2270" width="8" style="1" customWidth="1"/>
    <col min="2271" max="2271" width="9.6640625" style="1" customWidth="1"/>
    <col min="2272" max="2272" width="8.5" style="1" customWidth="1"/>
    <col min="2273" max="2510" width="9" style="1"/>
    <col min="2511" max="2511" width="6.6640625" style="1" customWidth="1"/>
    <col min="2512" max="2512" width="6.33203125" style="1" customWidth="1"/>
    <col min="2513" max="2516" width="8" style="1" customWidth="1"/>
    <col min="2517" max="2517" width="7.5" style="1" customWidth="1"/>
    <col min="2518" max="2519" width="8" style="1" customWidth="1"/>
    <col min="2520" max="2521" width="7.6640625" style="1" customWidth="1"/>
    <col min="2522" max="2522" width="9.6640625" style="1" customWidth="1"/>
    <col min="2523" max="2523" width="8.5" style="1" customWidth="1"/>
    <col min="2524" max="2524" width="7.6640625" style="1" customWidth="1"/>
    <col min="2525" max="2525" width="6.33203125" style="1" customWidth="1"/>
    <col min="2526" max="2526" width="8" style="1" customWidth="1"/>
    <col min="2527" max="2527" width="9.6640625" style="1" customWidth="1"/>
    <col min="2528" max="2528" width="8.5" style="1" customWidth="1"/>
    <col min="2529" max="2766" width="9" style="1"/>
    <col min="2767" max="2767" width="6.6640625" style="1" customWidth="1"/>
    <col min="2768" max="2768" width="6.33203125" style="1" customWidth="1"/>
    <col min="2769" max="2772" width="8" style="1" customWidth="1"/>
    <col min="2773" max="2773" width="7.5" style="1" customWidth="1"/>
    <col min="2774" max="2775" width="8" style="1" customWidth="1"/>
    <col min="2776" max="2777" width="7.6640625" style="1" customWidth="1"/>
    <col min="2778" max="2778" width="9.6640625" style="1" customWidth="1"/>
    <col min="2779" max="2779" width="8.5" style="1" customWidth="1"/>
    <col min="2780" max="2780" width="7.6640625" style="1" customWidth="1"/>
    <col min="2781" max="2781" width="6.33203125" style="1" customWidth="1"/>
    <col min="2782" max="2782" width="8" style="1" customWidth="1"/>
    <col min="2783" max="2783" width="9.6640625" style="1" customWidth="1"/>
    <col min="2784" max="2784" width="8.5" style="1" customWidth="1"/>
    <col min="2785" max="3022" width="9" style="1"/>
    <col min="3023" max="3023" width="6.6640625" style="1" customWidth="1"/>
    <col min="3024" max="3024" width="6.33203125" style="1" customWidth="1"/>
    <col min="3025" max="3028" width="8" style="1" customWidth="1"/>
    <col min="3029" max="3029" width="7.5" style="1" customWidth="1"/>
    <col min="3030" max="3031" width="8" style="1" customWidth="1"/>
    <col min="3032" max="3033" width="7.6640625" style="1" customWidth="1"/>
    <col min="3034" max="3034" width="9.6640625" style="1" customWidth="1"/>
    <col min="3035" max="3035" width="8.5" style="1" customWidth="1"/>
    <col min="3036" max="3036" width="7.6640625" style="1" customWidth="1"/>
    <col min="3037" max="3037" width="6.33203125" style="1" customWidth="1"/>
    <col min="3038" max="3038" width="8" style="1" customWidth="1"/>
    <col min="3039" max="3039" width="9.6640625" style="1" customWidth="1"/>
    <col min="3040" max="3040" width="8.5" style="1" customWidth="1"/>
    <col min="3041" max="3278" width="9" style="1"/>
    <col min="3279" max="3279" width="6.6640625" style="1" customWidth="1"/>
    <col min="3280" max="3280" width="6.33203125" style="1" customWidth="1"/>
    <col min="3281" max="3284" width="8" style="1" customWidth="1"/>
    <col min="3285" max="3285" width="7.5" style="1" customWidth="1"/>
    <col min="3286" max="3287" width="8" style="1" customWidth="1"/>
    <col min="3288" max="3289" width="7.6640625" style="1" customWidth="1"/>
    <col min="3290" max="3290" width="9.6640625" style="1" customWidth="1"/>
    <col min="3291" max="3291" width="8.5" style="1" customWidth="1"/>
    <col min="3292" max="3292" width="7.6640625" style="1" customWidth="1"/>
    <col min="3293" max="3293" width="6.33203125" style="1" customWidth="1"/>
    <col min="3294" max="3294" width="8" style="1" customWidth="1"/>
    <col min="3295" max="3295" width="9.6640625" style="1" customWidth="1"/>
    <col min="3296" max="3296" width="8.5" style="1" customWidth="1"/>
    <col min="3297" max="3534" width="9" style="1"/>
    <col min="3535" max="3535" width="6.6640625" style="1" customWidth="1"/>
    <col min="3536" max="3536" width="6.33203125" style="1" customWidth="1"/>
    <col min="3537" max="3540" width="8" style="1" customWidth="1"/>
    <col min="3541" max="3541" width="7.5" style="1" customWidth="1"/>
    <col min="3542" max="3543" width="8" style="1" customWidth="1"/>
    <col min="3544" max="3545" width="7.6640625" style="1" customWidth="1"/>
    <col min="3546" max="3546" width="9.6640625" style="1" customWidth="1"/>
    <col min="3547" max="3547" width="8.5" style="1" customWidth="1"/>
    <col min="3548" max="3548" width="7.6640625" style="1" customWidth="1"/>
    <col min="3549" max="3549" width="6.33203125" style="1" customWidth="1"/>
    <col min="3550" max="3550" width="8" style="1" customWidth="1"/>
    <col min="3551" max="3551" width="9.6640625" style="1" customWidth="1"/>
    <col min="3552" max="3552" width="8.5" style="1" customWidth="1"/>
    <col min="3553" max="3790" width="9" style="1"/>
    <col min="3791" max="3791" width="6.6640625" style="1" customWidth="1"/>
    <col min="3792" max="3792" width="6.33203125" style="1" customWidth="1"/>
    <col min="3793" max="3796" width="8" style="1" customWidth="1"/>
    <col min="3797" max="3797" width="7.5" style="1" customWidth="1"/>
    <col min="3798" max="3799" width="8" style="1" customWidth="1"/>
    <col min="3800" max="3801" width="7.6640625" style="1" customWidth="1"/>
    <col min="3802" max="3802" width="9.6640625" style="1" customWidth="1"/>
    <col min="3803" max="3803" width="8.5" style="1" customWidth="1"/>
    <col min="3804" max="3804" width="7.6640625" style="1" customWidth="1"/>
    <col min="3805" max="3805" width="6.33203125" style="1" customWidth="1"/>
    <col min="3806" max="3806" width="8" style="1" customWidth="1"/>
    <col min="3807" max="3807" width="9.6640625" style="1" customWidth="1"/>
    <col min="3808" max="3808" width="8.5" style="1" customWidth="1"/>
    <col min="3809" max="4046" width="9" style="1"/>
    <col min="4047" max="4047" width="6.6640625" style="1" customWidth="1"/>
    <col min="4048" max="4048" width="6.33203125" style="1" customWidth="1"/>
    <col min="4049" max="4052" width="8" style="1" customWidth="1"/>
    <col min="4053" max="4053" width="7.5" style="1" customWidth="1"/>
    <col min="4054" max="4055" width="8" style="1" customWidth="1"/>
    <col min="4056" max="4057" width="7.6640625" style="1" customWidth="1"/>
    <col min="4058" max="4058" width="9.6640625" style="1" customWidth="1"/>
    <col min="4059" max="4059" width="8.5" style="1" customWidth="1"/>
    <col min="4060" max="4060" width="7.6640625" style="1" customWidth="1"/>
    <col min="4061" max="4061" width="6.33203125" style="1" customWidth="1"/>
    <col min="4062" max="4062" width="8" style="1" customWidth="1"/>
    <col min="4063" max="4063" width="9.6640625" style="1" customWidth="1"/>
    <col min="4064" max="4064" width="8.5" style="1" customWidth="1"/>
    <col min="4065" max="4302" width="9" style="1"/>
    <col min="4303" max="4303" width="6.6640625" style="1" customWidth="1"/>
    <col min="4304" max="4304" width="6.33203125" style="1" customWidth="1"/>
    <col min="4305" max="4308" width="8" style="1" customWidth="1"/>
    <col min="4309" max="4309" width="7.5" style="1" customWidth="1"/>
    <col min="4310" max="4311" width="8" style="1" customWidth="1"/>
    <col min="4312" max="4313" width="7.6640625" style="1" customWidth="1"/>
    <col min="4314" max="4314" width="9.6640625" style="1" customWidth="1"/>
    <col min="4315" max="4315" width="8.5" style="1" customWidth="1"/>
    <col min="4316" max="4316" width="7.6640625" style="1" customWidth="1"/>
    <col min="4317" max="4317" width="6.33203125" style="1" customWidth="1"/>
    <col min="4318" max="4318" width="8" style="1" customWidth="1"/>
    <col min="4319" max="4319" width="9.6640625" style="1" customWidth="1"/>
    <col min="4320" max="4320" width="8.5" style="1" customWidth="1"/>
    <col min="4321" max="4558" width="9" style="1"/>
    <col min="4559" max="4559" width="6.6640625" style="1" customWidth="1"/>
    <col min="4560" max="4560" width="6.33203125" style="1" customWidth="1"/>
    <col min="4561" max="4564" width="8" style="1" customWidth="1"/>
    <col min="4565" max="4565" width="7.5" style="1" customWidth="1"/>
    <col min="4566" max="4567" width="8" style="1" customWidth="1"/>
    <col min="4568" max="4569" width="7.6640625" style="1" customWidth="1"/>
    <col min="4570" max="4570" width="9.6640625" style="1" customWidth="1"/>
    <col min="4571" max="4571" width="8.5" style="1" customWidth="1"/>
    <col min="4572" max="4572" width="7.6640625" style="1" customWidth="1"/>
    <col min="4573" max="4573" width="6.33203125" style="1" customWidth="1"/>
    <col min="4574" max="4574" width="8" style="1" customWidth="1"/>
    <col min="4575" max="4575" width="9.6640625" style="1" customWidth="1"/>
    <col min="4576" max="4576" width="8.5" style="1" customWidth="1"/>
    <col min="4577" max="4814" width="9" style="1"/>
    <col min="4815" max="4815" width="6.6640625" style="1" customWidth="1"/>
    <col min="4816" max="4816" width="6.33203125" style="1" customWidth="1"/>
    <col min="4817" max="4820" width="8" style="1" customWidth="1"/>
    <col min="4821" max="4821" width="7.5" style="1" customWidth="1"/>
    <col min="4822" max="4823" width="8" style="1" customWidth="1"/>
    <col min="4824" max="4825" width="7.6640625" style="1" customWidth="1"/>
    <col min="4826" max="4826" width="9.6640625" style="1" customWidth="1"/>
    <col min="4827" max="4827" width="8.5" style="1" customWidth="1"/>
    <col min="4828" max="4828" width="7.6640625" style="1" customWidth="1"/>
    <col min="4829" max="4829" width="6.33203125" style="1" customWidth="1"/>
    <col min="4830" max="4830" width="8" style="1" customWidth="1"/>
    <col min="4831" max="4831" width="9.6640625" style="1" customWidth="1"/>
    <col min="4832" max="4832" width="8.5" style="1" customWidth="1"/>
    <col min="4833" max="5070" width="9" style="1"/>
    <col min="5071" max="5071" width="6.6640625" style="1" customWidth="1"/>
    <col min="5072" max="5072" width="6.33203125" style="1" customWidth="1"/>
    <col min="5073" max="5076" width="8" style="1" customWidth="1"/>
    <col min="5077" max="5077" width="7.5" style="1" customWidth="1"/>
    <col min="5078" max="5079" width="8" style="1" customWidth="1"/>
    <col min="5080" max="5081" width="7.6640625" style="1" customWidth="1"/>
    <col min="5082" max="5082" width="9.6640625" style="1" customWidth="1"/>
    <col min="5083" max="5083" width="8.5" style="1" customWidth="1"/>
    <col min="5084" max="5084" width="7.6640625" style="1" customWidth="1"/>
    <col min="5085" max="5085" width="6.33203125" style="1" customWidth="1"/>
    <col min="5086" max="5086" width="8" style="1" customWidth="1"/>
    <col min="5087" max="5087" width="9.6640625" style="1" customWidth="1"/>
    <col min="5088" max="5088" width="8.5" style="1" customWidth="1"/>
    <col min="5089" max="5326" width="9" style="1"/>
    <col min="5327" max="5327" width="6.6640625" style="1" customWidth="1"/>
    <col min="5328" max="5328" width="6.33203125" style="1" customWidth="1"/>
    <col min="5329" max="5332" width="8" style="1" customWidth="1"/>
    <col min="5333" max="5333" width="7.5" style="1" customWidth="1"/>
    <col min="5334" max="5335" width="8" style="1" customWidth="1"/>
    <col min="5336" max="5337" width="7.6640625" style="1" customWidth="1"/>
    <col min="5338" max="5338" width="9.6640625" style="1" customWidth="1"/>
    <col min="5339" max="5339" width="8.5" style="1" customWidth="1"/>
    <col min="5340" max="5340" width="7.6640625" style="1" customWidth="1"/>
    <col min="5341" max="5341" width="6.33203125" style="1" customWidth="1"/>
    <col min="5342" max="5342" width="8" style="1" customWidth="1"/>
    <col min="5343" max="5343" width="9.6640625" style="1" customWidth="1"/>
    <col min="5344" max="5344" width="8.5" style="1" customWidth="1"/>
    <col min="5345" max="5582" width="9" style="1"/>
    <col min="5583" max="5583" width="6.6640625" style="1" customWidth="1"/>
    <col min="5584" max="5584" width="6.33203125" style="1" customWidth="1"/>
    <col min="5585" max="5588" width="8" style="1" customWidth="1"/>
    <col min="5589" max="5589" width="7.5" style="1" customWidth="1"/>
    <col min="5590" max="5591" width="8" style="1" customWidth="1"/>
    <col min="5592" max="5593" width="7.6640625" style="1" customWidth="1"/>
    <col min="5594" max="5594" width="9.6640625" style="1" customWidth="1"/>
    <col min="5595" max="5595" width="8.5" style="1" customWidth="1"/>
    <col min="5596" max="5596" width="7.6640625" style="1" customWidth="1"/>
    <col min="5597" max="5597" width="6.33203125" style="1" customWidth="1"/>
    <col min="5598" max="5598" width="8" style="1" customWidth="1"/>
    <col min="5599" max="5599" width="9.6640625" style="1" customWidth="1"/>
    <col min="5600" max="5600" width="8.5" style="1" customWidth="1"/>
    <col min="5601" max="5838" width="9" style="1"/>
    <col min="5839" max="5839" width="6.6640625" style="1" customWidth="1"/>
    <col min="5840" max="5840" width="6.33203125" style="1" customWidth="1"/>
    <col min="5841" max="5844" width="8" style="1" customWidth="1"/>
    <col min="5845" max="5845" width="7.5" style="1" customWidth="1"/>
    <col min="5846" max="5847" width="8" style="1" customWidth="1"/>
    <col min="5848" max="5849" width="7.6640625" style="1" customWidth="1"/>
    <col min="5850" max="5850" width="9.6640625" style="1" customWidth="1"/>
    <col min="5851" max="5851" width="8.5" style="1" customWidth="1"/>
    <col min="5852" max="5852" width="7.6640625" style="1" customWidth="1"/>
    <col min="5853" max="5853" width="6.33203125" style="1" customWidth="1"/>
    <col min="5854" max="5854" width="8" style="1" customWidth="1"/>
    <col min="5855" max="5855" width="9.6640625" style="1" customWidth="1"/>
    <col min="5856" max="5856" width="8.5" style="1" customWidth="1"/>
    <col min="5857" max="6094" width="9" style="1"/>
    <col min="6095" max="6095" width="6.6640625" style="1" customWidth="1"/>
    <col min="6096" max="6096" width="6.33203125" style="1" customWidth="1"/>
    <col min="6097" max="6100" width="8" style="1" customWidth="1"/>
    <col min="6101" max="6101" width="7.5" style="1" customWidth="1"/>
    <col min="6102" max="6103" width="8" style="1" customWidth="1"/>
    <col min="6104" max="6105" width="7.6640625" style="1" customWidth="1"/>
    <col min="6106" max="6106" width="9.6640625" style="1" customWidth="1"/>
    <col min="6107" max="6107" width="8.5" style="1" customWidth="1"/>
    <col min="6108" max="6108" width="7.6640625" style="1" customWidth="1"/>
    <col min="6109" max="6109" width="6.33203125" style="1" customWidth="1"/>
    <col min="6110" max="6110" width="8" style="1" customWidth="1"/>
    <col min="6111" max="6111" width="9.6640625" style="1" customWidth="1"/>
    <col min="6112" max="6112" width="8.5" style="1" customWidth="1"/>
    <col min="6113" max="6350" width="9" style="1"/>
    <col min="6351" max="6351" width="6.6640625" style="1" customWidth="1"/>
    <col min="6352" max="6352" width="6.33203125" style="1" customWidth="1"/>
    <col min="6353" max="6356" width="8" style="1" customWidth="1"/>
    <col min="6357" max="6357" width="7.5" style="1" customWidth="1"/>
    <col min="6358" max="6359" width="8" style="1" customWidth="1"/>
    <col min="6360" max="6361" width="7.6640625" style="1" customWidth="1"/>
    <col min="6362" max="6362" width="9.6640625" style="1" customWidth="1"/>
    <col min="6363" max="6363" width="8.5" style="1" customWidth="1"/>
    <col min="6364" max="6364" width="7.6640625" style="1" customWidth="1"/>
    <col min="6365" max="6365" width="6.33203125" style="1" customWidth="1"/>
    <col min="6366" max="6366" width="8" style="1" customWidth="1"/>
    <col min="6367" max="6367" width="9.6640625" style="1" customWidth="1"/>
    <col min="6368" max="6368" width="8.5" style="1" customWidth="1"/>
    <col min="6369" max="6606" width="9" style="1"/>
    <col min="6607" max="6607" width="6.6640625" style="1" customWidth="1"/>
    <col min="6608" max="6608" width="6.33203125" style="1" customWidth="1"/>
    <col min="6609" max="6612" width="8" style="1" customWidth="1"/>
    <col min="6613" max="6613" width="7.5" style="1" customWidth="1"/>
    <col min="6614" max="6615" width="8" style="1" customWidth="1"/>
    <col min="6616" max="6617" width="7.6640625" style="1" customWidth="1"/>
    <col min="6618" max="6618" width="9.6640625" style="1" customWidth="1"/>
    <col min="6619" max="6619" width="8.5" style="1" customWidth="1"/>
    <col min="6620" max="6620" width="7.6640625" style="1" customWidth="1"/>
    <col min="6621" max="6621" width="6.33203125" style="1" customWidth="1"/>
    <col min="6622" max="6622" width="8" style="1" customWidth="1"/>
    <col min="6623" max="6623" width="9.6640625" style="1" customWidth="1"/>
    <col min="6624" max="6624" width="8.5" style="1" customWidth="1"/>
    <col min="6625" max="6862" width="9" style="1"/>
    <col min="6863" max="6863" width="6.6640625" style="1" customWidth="1"/>
    <col min="6864" max="6864" width="6.33203125" style="1" customWidth="1"/>
    <col min="6865" max="6868" width="8" style="1" customWidth="1"/>
    <col min="6869" max="6869" width="7.5" style="1" customWidth="1"/>
    <col min="6870" max="6871" width="8" style="1" customWidth="1"/>
    <col min="6872" max="6873" width="7.6640625" style="1" customWidth="1"/>
    <col min="6874" max="6874" width="9.6640625" style="1" customWidth="1"/>
    <col min="6875" max="6875" width="8.5" style="1" customWidth="1"/>
    <col min="6876" max="6876" width="7.6640625" style="1" customWidth="1"/>
    <col min="6877" max="6877" width="6.33203125" style="1" customWidth="1"/>
    <col min="6878" max="6878" width="8" style="1" customWidth="1"/>
    <col min="6879" max="6879" width="9.6640625" style="1" customWidth="1"/>
    <col min="6880" max="6880" width="8.5" style="1" customWidth="1"/>
    <col min="6881" max="7118" width="9" style="1"/>
    <col min="7119" max="7119" width="6.6640625" style="1" customWidth="1"/>
    <col min="7120" max="7120" width="6.33203125" style="1" customWidth="1"/>
    <col min="7121" max="7124" width="8" style="1" customWidth="1"/>
    <col min="7125" max="7125" width="7.5" style="1" customWidth="1"/>
    <col min="7126" max="7127" width="8" style="1" customWidth="1"/>
    <col min="7128" max="7129" width="7.6640625" style="1" customWidth="1"/>
    <col min="7130" max="7130" width="9.6640625" style="1" customWidth="1"/>
    <col min="7131" max="7131" width="8.5" style="1" customWidth="1"/>
    <col min="7132" max="7132" width="7.6640625" style="1" customWidth="1"/>
    <col min="7133" max="7133" width="6.33203125" style="1" customWidth="1"/>
    <col min="7134" max="7134" width="8" style="1" customWidth="1"/>
    <col min="7135" max="7135" width="9.6640625" style="1" customWidth="1"/>
    <col min="7136" max="7136" width="8.5" style="1" customWidth="1"/>
    <col min="7137" max="7374" width="9" style="1"/>
    <col min="7375" max="7375" width="6.6640625" style="1" customWidth="1"/>
    <col min="7376" max="7376" width="6.33203125" style="1" customWidth="1"/>
    <col min="7377" max="7380" width="8" style="1" customWidth="1"/>
    <col min="7381" max="7381" width="7.5" style="1" customWidth="1"/>
    <col min="7382" max="7383" width="8" style="1" customWidth="1"/>
    <col min="7384" max="7385" width="7.6640625" style="1" customWidth="1"/>
    <col min="7386" max="7386" width="9.6640625" style="1" customWidth="1"/>
    <col min="7387" max="7387" width="8.5" style="1" customWidth="1"/>
    <col min="7388" max="7388" width="7.6640625" style="1" customWidth="1"/>
    <col min="7389" max="7389" width="6.33203125" style="1" customWidth="1"/>
    <col min="7390" max="7390" width="8" style="1" customWidth="1"/>
    <col min="7391" max="7391" width="9.6640625" style="1" customWidth="1"/>
    <col min="7392" max="7392" width="8.5" style="1" customWidth="1"/>
    <col min="7393" max="7630" width="9" style="1"/>
    <col min="7631" max="7631" width="6.6640625" style="1" customWidth="1"/>
    <col min="7632" max="7632" width="6.33203125" style="1" customWidth="1"/>
    <col min="7633" max="7636" width="8" style="1" customWidth="1"/>
    <col min="7637" max="7637" width="7.5" style="1" customWidth="1"/>
    <col min="7638" max="7639" width="8" style="1" customWidth="1"/>
    <col min="7640" max="7641" width="7.6640625" style="1" customWidth="1"/>
    <col min="7642" max="7642" width="9.6640625" style="1" customWidth="1"/>
    <col min="7643" max="7643" width="8.5" style="1" customWidth="1"/>
    <col min="7644" max="7644" width="7.6640625" style="1" customWidth="1"/>
    <col min="7645" max="7645" width="6.33203125" style="1" customWidth="1"/>
    <col min="7646" max="7646" width="8" style="1" customWidth="1"/>
    <col min="7647" max="7647" width="9.6640625" style="1" customWidth="1"/>
    <col min="7648" max="7648" width="8.5" style="1" customWidth="1"/>
    <col min="7649" max="7886" width="9" style="1"/>
    <col min="7887" max="7887" width="6.6640625" style="1" customWidth="1"/>
    <col min="7888" max="7888" width="6.33203125" style="1" customWidth="1"/>
    <col min="7889" max="7892" width="8" style="1" customWidth="1"/>
    <col min="7893" max="7893" width="7.5" style="1" customWidth="1"/>
    <col min="7894" max="7895" width="8" style="1" customWidth="1"/>
    <col min="7896" max="7897" width="7.6640625" style="1" customWidth="1"/>
    <col min="7898" max="7898" width="9.6640625" style="1" customWidth="1"/>
    <col min="7899" max="7899" width="8.5" style="1" customWidth="1"/>
    <col min="7900" max="7900" width="7.6640625" style="1" customWidth="1"/>
    <col min="7901" max="7901" width="6.33203125" style="1" customWidth="1"/>
    <col min="7902" max="7902" width="8" style="1" customWidth="1"/>
    <col min="7903" max="7903" width="9.6640625" style="1" customWidth="1"/>
    <col min="7904" max="7904" width="8.5" style="1" customWidth="1"/>
    <col min="7905" max="8142" width="9" style="1"/>
    <col min="8143" max="8143" width="6.6640625" style="1" customWidth="1"/>
    <col min="8144" max="8144" width="6.33203125" style="1" customWidth="1"/>
    <col min="8145" max="8148" width="8" style="1" customWidth="1"/>
    <col min="8149" max="8149" width="7.5" style="1" customWidth="1"/>
    <col min="8150" max="8151" width="8" style="1" customWidth="1"/>
    <col min="8152" max="8153" width="7.6640625" style="1" customWidth="1"/>
    <col min="8154" max="8154" width="9.6640625" style="1" customWidth="1"/>
    <col min="8155" max="8155" width="8.5" style="1" customWidth="1"/>
    <col min="8156" max="8156" width="7.6640625" style="1" customWidth="1"/>
    <col min="8157" max="8157" width="6.33203125" style="1" customWidth="1"/>
    <col min="8158" max="8158" width="8" style="1" customWidth="1"/>
    <col min="8159" max="8159" width="9.6640625" style="1" customWidth="1"/>
    <col min="8160" max="8160" width="8.5" style="1" customWidth="1"/>
    <col min="8161" max="8398" width="9" style="1"/>
    <col min="8399" max="8399" width="6.6640625" style="1" customWidth="1"/>
    <col min="8400" max="8400" width="6.33203125" style="1" customWidth="1"/>
    <col min="8401" max="8404" width="8" style="1" customWidth="1"/>
    <col min="8405" max="8405" width="7.5" style="1" customWidth="1"/>
    <col min="8406" max="8407" width="8" style="1" customWidth="1"/>
    <col min="8408" max="8409" width="7.6640625" style="1" customWidth="1"/>
    <col min="8410" max="8410" width="9.6640625" style="1" customWidth="1"/>
    <col min="8411" max="8411" width="8.5" style="1" customWidth="1"/>
    <col min="8412" max="8412" width="7.6640625" style="1" customWidth="1"/>
    <col min="8413" max="8413" width="6.33203125" style="1" customWidth="1"/>
    <col min="8414" max="8414" width="8" style="1" customWidth="1"/>
    <col min="8415" max="8415" width="9.6640625" style="1" customWidth="1"/>
    <col min="8416" max="8416" width="8.5" style="1" customWidth="1"/>
    <col min="8417" max="8654" width="9" style="1"/>
    <col min="8655" max="8655" width="6.6640625" style="1" customWidth="1"/>
    <col min="8656" max="8656" width="6.33203125" style="1" customWidth="1"/>
    <col min="8657" max="8660" width="8" style="1" customWidth="1"/>
    <col min="8661" max="8661" width="7.5" style="1" customWidth="1"/>
    <col min="8662" max="8663" width="8" style="1" customWidth="1"/>
    <col min="8664" max="8665" width="7.6640625" style="1" customWidth="1"/>
    <col min="8666" max="8666" width="9.6640625" style="1" customWidth="1"/>
    <col min="8667" max="8667" width="8.5" style="1" customWidth="1"/>
    <col min="8668" max="8668" width="7.6640625" style="1" customWidth="1"/>
    <col min="8669" max="8669" width="6.33203125" style="1" customWidth="1"/>
    <col min="8670" max="8670" width="8" style="1" customWidth="1"/>
    <col min="8671" max="8671" width="9.6640625" style="1" customWidth="1"/>
    <col min="8672" max="8672" width="8.5" style="1" customWidth="1"/>
    <col min="8673" max="8910" width="9" style="1"/>
    <col min="8911" max="8911" width="6.6640625" style="1" customWidth="1"/>
    <col min="8912" max="8912" width="6.33203125" style="1" customWidth="1"/>
    <col min="8913" max="8916" width="8" style="1" customWidth="1"/>
    <col min="8917" max="8917" width="7.5" style="1" customWidth="1"/>
    <col min="8918" max="8919" width="8" style="1" customWidth="1"/>
    <col min="8920" max="8921" width="7.6640625" style="1" customWidth="1"/>
    <col min="8922" max="8922" width="9.6640625" style="1" customWidth="1"/>
    <col min="8923" max="8923" width="8.5" style="1" customWidth="1"/>
    <col min="8924" max="8924" width="7.6640625" style="1" customWidth="1"/>
    <col min="8925" max="8925" width="6.33203125" style="1" customWidth="1"/>
    <col min="8926" max="8926" width="8" style="1" customWidth="1"/>
    <col min="8927" max="8927" width="9.6640625" style="1" customWidth="1"/>
    <col min="8928" max="8928" width="8.5" style="1" customWidth="1"/>
    <col min="8929" max="9166" width="9" style="1"/>
    <col min="9167" max="9167" width="6.6640625" style="1" customWidth="1"/>
    <col min="9168" max="9168" width="6.33203125" style="1" customWidth="1"/>
    <col min="9169" max="9172" width="8" style="1" customWidth="1"/>
    <col min="9173" max="9173" width="7.5" style="1" customWidth="1"/>
    <col min="9174" max="9175" width="8" style="1" customWidth="1"/>
    <col min="9176" max="9177" width="7.6640625" style="1" customWidth="1"/>
    <col min="9178" max="9178" width="9.6640625" style="1" customWidth="1"/>
    <col min="9179" max="9179" width="8.5" style="1" customWidth="1"/>
    <col min="9180" max="9180" width="7.6640625" style="1" customWidth="1"/>
    <col min="9181" max="9181" width="6.33203125" style="1" customWidth="1"/>
    <col min="9182" max="9182" width="8" style="1" customWidth="1"/>
    <col min="9183" max="9183" width="9.6640625" style="1" customWidth="1"/>
    <col min="9184" max="9184" width="8.5" style="1" customWidth="1"/>
    <col min="9185" max="9422" width="9" style="1"/>
    <col min="9423" max="9423" width="6.6640625" style="1" customWidth="1"/>
    <col min="9424" max="9424" width="6.33203125" style="1" customWidth="1"/>
    <col min="9425" max="9428" width="8" style="1" customWidth="1"/>
    <col min="9429" max="9429" width="7.5" style="1" customWidth="1"/>
    <col min="9430" max="9431" width="8" style="1" customWidth="1"/>
    <col min="9432" max="9433" width="7.6640625" style="1" customWidth="1"/>
    <col min="9434" max="9434" width="9.6640625" style="1" customWidth="1"/>
    <col min="9435" max="9435" width="8.5" style="1" customWidth="1"/>
    <col min="9436" max="9436" width="7.6640625" style="1" customWidth="1"/>
    <col min="9437" max="9437" width="6.33203125" style="1" customWidth="1"/>
    <col min="9438" max="9438" width="8" style="1" customWidth="1"/>
    <col min="9439" max="9439" width="9.6640625" style="1" customWidth="1"/>
    <col min="9440" max="9440" width="8.5" style="1" customWidth="1"/>
    <col min="9441" max="9678" width="9" style="1"/>
    <col min="9679" max="9679" width="6.6640625" style="1" customWidth="1"/>
    <col min="9680" max="9680" width="6.33203125" style="1" customWidth="1"/>
    <col min="9681" max="9684" width="8" style="1" customWidth="1"/>
    <col min="9685" max="9685" width="7.5" style="1" customWidth="1"/>
    <col min="9686" max="9687" width="8" style="1" customWidth="1"/>
    <col min="9688" max="9689" width="7.6640625" style="1" customWidth="1"/>
    <col min="9690" max="9690" width="9.6640625" style="1" customWidth="1"/>
    <col min="9691" max="9691" width="8.5" style="1" customWidth="1"/>
    <col min="9692" max="9692" width="7.6640625" style="1" customWidth="1"/>
    <col min="9693" max="9693" width="6.33203125" style="1" customWidth="1"/>
    <col min="9694" max="9694" width="8" style="1" customWidth="1"/>
    <col min="9695" max="9695" width="9.6640625" style="1" customWidth="1"/>
    <col min="9696" max="9696" width="8.5" style="1" customWidth="1"/>
    <col min="9697" max="9934" width="9" style="1"/>
    <col min="9935" max="9935" width="6.6640625" style="1" customWidth="1"/>
    <col min="9936" max="9936" width="6.33203125" style="1" customWidth="1"/>
    <col min="9937" max="9940" width="8" style="1" customWidth="1"/>
    <col min="9941" max="9941" width="7.5" style="1" customWidth="1"/>
    <col min="9942" max="9943" width="8" style="1" customWidth="1"/>
    <col min="9944" max="9945" width="7.6640625" style="1" customWidth="1"/>
    <col min="9946" max="9946" width="9.6640625" style="1" customWidth="1"/>
    <col min="9947" max="9947" width="8.5" style="1" customWidth="1"/>
    <col min="9948" max="9948" width="7.6640625" style="1" customWidth="1"/>
    <col min="9949" max="9949" width="6.33203125" style="1" customWidth="1"/>
    <col min="9950" max="9950" width="8" style="1" customWidth="1"/>
    <col min="9951" max="9951" width="9.6640625" style="1" customWidth="1"/>
    <col min="9952" max="9952" width="8.5" style="1" customWidth="1"/>
    <col min="9953" max="10190" width="9" style="1"/>
    <col min="10191" max="10191" width="6.6640625" style="1" customWidth="1"/>
    <col min="10192" max="10192" width="6.33203125" style="1" customWidth="1"/>
    <col min="10193" max="10196" width="8" style="1" customWidth="1"/>
    <col min="10197" max="10197" width="7.5" style="1" customWidth="1"/>
    <col min="10198" max="10199" width="8" style="1" customWidth="1"/>
    <col min="10200" max="10201" width="7.6640625" style="1" customWidth="1"/>
    <col min="10202" max="10202" width="9.6640625" style="1" customWidth="1"/>
    <col min="10203" max="10203" width="8.5" style="1" customWidth="1"/>
    <col min="10204" max="10204" width="7.6640625" style="1" customWidth="1"/>
    <col min="10205" max="10205" width="6.33203125" style="1" customWidth="1"/>
    <col min="10206" max="10206" width="8" style="1" customWidth="1"/>
    <col min="10207" max="10207" width="9.6640625" style="1" customWidth="1"/>
    <col min="10208" max="10208" width="8.5" style="1" customWidth="1"/>
    <col min="10209" max="10446" width="9" style="1"/>
    <col min="10447" max="10447" width="6.6640625" style="1" customWidth="1"/>
    <col min="10448" max="10448" width="6.33203125" style="1" customWidth="1"/>
    <col min="10449" max="10452" width="8" style="1" customWidth="1"/>
    <col min="10453" max="10453" width="7.5" style="1" customWidth="1"/>
    <col min="10454" max="10455" width="8" style="1" customWidth="1"/>
    <col min="10456" max="10457" width="7.6640625" style="1" customWidth="1"/>
    <col min="10458" max="10458" width="9.6640625" style="1" customWidth="1"/>
    <col min="10459" max="10459" width="8.5" style="1" customWidth="1"/>
    <col min="10460" max="10460" width="7.6640625" style="1" customWidth="1"/>
    <col min="10461" max="10461" width="6.33203125" style="1" customWidth="1"/>
    <col min="10462" max="10462" width="8" style="1" customWidth="1"/>
    <col min="10463" max="10463" width="9.6640625" style="1" customWidth="1"/>
    <col min="10464" max="10464" width="8.5" style="1" customWidth="1"/>
    <col min="10465" max="10702" width="9" style="1"/>
    <col min="10703" max="10703" width="6.6640625" style="1" customWidth="1"/>
    <col min="10704" max="10704" width="6.33203125" style="1" customWidth="1"/>
    <col min="10705" max="10708" width="8" style="1" customWidth="1"/>
    <col min="10709" max="10709" width="7.5" style="1" customWidth="1"/>
    <col min="10710" max="10711" width="8" style="1" customWidth="1"/>
    <col min="10712" max="10713" width="7.6640625" style="1" customWidth="1"/>
    <col min="10714" max="10714" width="9.6640625" style="1" customWidth="1"/>
    <col min="10715" max="10715" width="8.5" style="1" customWidth="1"/>
    <col min="10716" max="10716" width="7.6640625" style="1" customWidth="1"/>
    <col min="10717" max="10717" width="6.33203125" style="1" customWidth="1"/>
    <col min="10718" max="10718" width="8" style="1" customWidth="1"/>
    <col min="10719" max="10719" width="9.6640625" style="1" customWidth="1"/>
    <col min="10720" max="10720" width="8.5" style="1" customWidth="1"/>
    <col min="10721" max="10958" width="9" style="1"/>
    <col min="10959" max="10959" width="6.6640625" style="1" customWidth="1"/>
    <col min="10960" max="10960" width="6.33203125" style="1" customWidth="1"/>
    <col min="10961" max="10964" width="8" style="1" customWidth="1"/>
    <col min="10965" max="10965" width="7.5" style="1" customWidth="1"/>
    <col min="10966" max="10967" width="8" style="1" customWidth="1"/>
    <col min="10968" max="10969" width="7.6640625" style="1" customWidth="1"/>
    <col min="10970" max="10970" width="9.6640625" style="1" customWidth="1"/>
    <col min="10971" max="10971" width="8.5" style="1" customWidth="1"/>
    <col min="10972" max="10972" width="7.6640625" style="1" customWidth="1"/>
    <col min="10973" max="10973" width="6.33203125" style="1" customWidth="1"/>
    <col min="10974" max="10974" width="8" style="1" customWidth="1"/>
    <col min="10975" max="10975" width="9.6640625" style="1" customWidth="1"/>
    <col min="10976" max="10976" width="8.5" style="1" customWidth="1"/>
    <col min="10977" max="11214" width="9" style="1"/>
    <col min="11215" max="11215" width="6.6640625" style="1" customWidth="1"/>
    <col min="11216" max="11216" width="6.33203125" style="1" customWidth="1"/>
    <col min="11217" max="11220" width="8" style="1" customWidth="1"/>
    <col min="11221" max="11221" width="7.5" style="1" customWidth="1"/>
    <col min="11222" max="11223" width="8" style="1" customWidth="1"/>
    <col min="11224" max="11225" width="7.6640625" style="1" customWidth="1"/>
    <col min="11226" max="11226" width="9.6640625" style="1" customWidth="1"/>
    <col min="11227" max="11227" width="8.5" style="1" customWidth="1"/>
    <col min="11228" max="11228" width="7.6640625" style="1" customWidth="1"/>
    <col min="11229" max="11229" width="6.33203125" style="1" customWidth="1"/>
    <col min="11230" max="11230" width="8" style="1" customWidth="1"/>
    <col min="11231" max="11231" width="9.6640625" style="1" customWidth="1"/>
    <col min="11232" max="11232" width="8.5" style="1" customWidth="1"/>
    <col min="11233" max="11470" width="9" style="1"/>
    <col min="11471" max="11471" width="6.6640625" style="1" customWidth="1"/>
    <col min="11472" max="11472" width="6.33203125" style="1" customWidth="1"/>
    <col min="11473" max="11476" width="8" style="1" customWidth="1"/>
    <col min="11477" max="11477" width="7.5" style="1" customWidth="1"/>
    <col min="11478" max="11479" width="8" style="1" customWidth="1"/>
    <col min="11480" max="11481" width="7.6640625" style="1" customWidth="1"/>
    <col min="11482" max="11482" width="9.6640625" style="1" customWidth="1"/>
    <col min="11483" max="11483" width="8.5" style="1" customWidth="1"/>
    <col min="11484" max="11484" width="7.6640625" style="1" customWidth="1"/>
    <col min="11485" max="11485" width="6.33203125" style="1" customWidth="1"/>
    <col min="11486" max="11486" width="8" style="1" customWidth="1"/>
    <col min="11487" max="11487" width="9.6640625" style="1" customWidth="1"/>
    <col min="11488" max="11488" width="8.5" style="1" customWidth="1"/>
    <col min="11489" max="11726" width="9" style="1"/>
    <col min="11727" max="11727" width="6.6640625" style="1" customWidth="1"/>
    <col min="11728" max="11728" width="6.33203125" style="1" customWidth="1"/>
    <col min="11729" max="11732" width="8" style="1" customWidth="1"/>
    <col min="11733" max="11733" width="7.5" style="1" customWidth="1"/>
    <col min="11734" max="11735" width="8" style="1" customWidth="1"/>
    <col min="11736" max="11737" width="7.6640625" style="1" customWidth="1"/>
    <col min="11738" max="11738" width="9.6640625" style="1" customWidth="1"/>
    <col min="11739" max="11739" width="8.5" style="1" customWidth="1"/>
    <col min="11740" max="11740" width="7.6640625" style="1" customWidth="1"/>
    <col min="11741" max="11741" width="6.33203125" style="1" customWidth="1"/>
    <col min="11742" max="11742" width="8" style="1" customWidth="1"/>
    <col min="11743" max="11743" width="9.6640625" style="1" customWidth="1"/>
    <col min="11744" max="11744" width="8.5" style="1" customWidth="1"/>
    <col min="11745" max="11982" width="9" style="1"/>
    <col min="11983" max="11983" width="6.6640625" style="1" customWidth="1"/>
    <col min="11984" max="11984" width="6.33203125" style="1" customWidth="1"/>
    <col min="11985" max="11988" width="8" style="1" customWidth="1"/>
    <col min="11989" max="11989" width="7.5" style="1" customWidth="1"/>
    <col min="11990" max="11991" width="8" style="1" customWidth="1"/>
    <col min="11992" max="11993" width="7.6640625" style="1" customWidth="1"/>
    <col min="11994" max="11994" width="9.6640625" style="1" customWidth="1"/>
    <col min="11995" max="11995" width="8.5" style="1" customWidth="1"/>
    <col min="11996" max="11996" width="7.6640625" style="1" customWidth="1"/>
    <col min="11997" max="11997" width="6.33203125" style="1" customWidth="1"/>
    <col min="11998" max="11998" width="8" style="1" customWidth="1"/>
    <col min="11999" max="11999" width="9.6640625" style="1" customWidth="1"/>
    <col min="12000" max="12000" width="8.5" style="1" customWidth="1"/>
    <col min="12001" max="12238" width="9" style="1"/>
    <col min="12239" max="12239" width="6.6640625" style="1" customWidth="1"/>
    <col min="12240" max="12240" width="6.33203125" style="1" customWidth="1"/>
    <col min="12241" max="12244" width="8" style="1" customWidth="1"/>
    <col min="12245" max="12245" width="7.5" style="1" customWidth="1"/>
    <col min="12246" max="12247" width="8" style="1" customWidth="1"/>
    <col min="12248" max="12249" width="7.6640625" style="1" customWidth="1"/>
    <col min="12250" max="12250" width="9.6640625" style="1" customWidth="1"/>
    <col min="12251" max="12251" width="8.5" style="1" customWidth="1"/>
    <col min="12252" max="12252" width="7.6640625" style="1" customWidth="1"/>
    <col min="12253" max="12253" width="6.33203125" style="1" customWidth="1"/>
    <col min="12254" max="12254" width="8" style="1" customWidth="1"/>
    <col min="12255" max="12255" width="9.6640625" style="1" customWidth="1"/>
    <col min="12256" max="12256" width="8.5" style="1" customWidth="1"/>
    <col min="12257" max="12494" width="9" style="1"/>
    <col min="12495" max="12495" width="6.6640625" style="1" customWidth="1"/>
    <col min="12496" max="12496" width="6.33203125" style="1" customWidth="1"/>
    <col min="12497" max="12500" width="8" style="1" customWidth="1"/>
    <col min="12501" max="12501" width="7.5" style="1" customWidth="1"/>
    <col min="12502" max="12503" width="8" style="1" customWidth="1"/>
    <col min="12504" max="12505" width="7.6640625" style="1" customWidth="1"/>
    <col min="12506" max="12506" width="9.6640625" style="1" customWidth="1"/>
    <col min="12507" max="12507" width="8.5" style="1" customWidth="1"/>
    <col min="12508" max="12508" width="7.6640625" style="1" customWidth="1"/>
    <col min="12509" max="12509" width="6.33203125" style="1" customWidth="1"/>
    <col min="12510" max="12510" width="8" style="1" customWidth="1"/>
    <col min="12511" max="12511" width="9.6640625" style="1" customWidth="1"/>
    <col min="12512" max="12512" width="8.5" style="1" customWidth="1"/>
    <col min="12513" max="12750" width="9" style="1"/>
    <col min="12751" max="12751" width="6.6640625" style="1" customWidth="1"/>
    <col min="12752" max="12752" width="6.33203125" style="1" customWidth="1"/>
    <col min="12753" max="12756" width="8" style="1" customWidth="1"/>
    <col min="12757" max="12757" width="7.5" style="1" customWidth="1"/>
    <col min="12758" max="12759" width="8" style="1" customWidth="1"/>
    <col min="12760" max="12761" width="7.6640625" style="1" customWidth="1"/>
    <col min="12762" max="12762" width="9.6640625" style="1" customWidth="1"/>
    <col min="12763" max="12763" width="8.5" style="1" customWidth="1"/>
    <col min="12764" max="12764" width="7.6640625" style="1" customWidth="1"/>
    <col min="12765" max="12765" width="6.33203125" style="1" customWidth="1"/>
    <col min="12766" max="12766" width="8" style="1" customWidth="1"/>
    <col min="12767" max="12767" width="9.6640625" style="1" customWidth="1"/>
    <col min="12768" max="12768" width="8.5" style="1" customWidth="1"/>
    <col min="12769" max="13006" width="9" style="1"/>
    <col min="13007" max="13007" width="6.6640625" style="1" customWidth="1"/>
    <col min="13008" max="13008" width="6.33203125" style="1" customWidth="1"/>
    <col min="13009" max="13012" width="8" style="1" customWidth="1"/>
    <col min="13013" max="13013" width="7.5" style="1" customWidth="1"/>
    <col min="13014" max="13015" width="8" style="1" customWidth="1"/>
    <col min="13016" max="13017" width="7.6640625" style="1" customWidth="1"/>
    <col min="13018" max="13018" width="9.6640625" style="1" customWidth="1"/>
    <col min="13019" max="13019" width="8.5" style="1" customWidth="1"/>
    <col min="13020" max="13020" width="7.6640625" style="1" customWidth="1"/>
    <col min="13021" max="13021" width="6.33203125" style="1" customWidth="1"/>
    <col min="13022" max="13022" width="8" style="1" customWidth="1"/>
    <col min="13023" max="13023" width="9.6640625" style="1" customWidth="1"/>
    <col min="13024" max="13024" width="8.5" style="1" customWidth="1"/>
    <col min="13025" max="13262" width="9" style="1"/>
    <col min="13263" max="13263" width="6.6640625" style="1" customWidth="1"/>
    <col min="13264" max="13264" width="6.33203125" style="1" customWidth="1"/>
    <col min="13265" max="13268" width="8" style="1" customWidth="1"/>
    <col min="13269" max="13269" width="7.5" style="1" customWidth="1"/>
    <col min="13270" max="13271" width="8" style="1" customWidth="1"/>
    <col min="13272" max="13273" width="7.6640625" style="1" customWidth="1"/>
    <col min="13274" max="13274" width="9.6640625" style="1" customWidth="1"/>
    <col min="13275" max="13275" width="8.5" style="1" customWidth="1"/>
    <col min="13276" max="13276" width="7.6640625" style="1" customWidth="1"/>
    <col min="13277" max="13277" width="6.33203125" style="1" customWidth="1"/>
    <col min="13278" max="13278" width="8" style="1" customWidth="1"/>
    <col min="13279" max="13279" width="9.6640625" style="1" customWidth="1"/>
    <col min="13280" max="13280" width="8.5" style="1" customWidth="1"/>
    <col min="13281" max="13518" width="9" style="1"/>
    <col min="13519" max="13519" width="6.6640625" style="1" customWidth="1"/>
    <col min="13520" max="13520" width="6.33203125" style="1" customWidth="1"/>
    <col min="13521" max="13524" width="8" style="1" customWidth="1"/>
    <col min="13525" max="13525" width="7.5" style="1" customWidth="1"/>
    <col min="13526" max="13527" width="8" style="1" customWidth="1"/>
    <col min="13528" max="13529" width="7.6640625" style="1" customWidth="1"/>
    <col min="13530" max="13530" width="9.6640625" style="1" customWidth="1"/>
    <col min="13531" max="13531" width="8.5" style="1" customWidth="1"/>
    <col min="13532" max="13532" width="7.6640625" style="1" customWidth="1"/>
    <col min="13533" max="13533" width="6.33203125" style="1" customWidth="1"/>
    <col min="13534" max="13534" width="8" style="1" customWidth="1"/>
    <col min="13535" max="13535" width="9.6640625" style="1" customWidth="1"/>
    <col min="13536" max="13536" width="8.5" style="1" customWidth="1"/>
    <col min="13537" max="13774" width="9" style="1"/>
    <col min="13775" max="13775" width="6.6640625" style="1" customWidth="1"/>
    <col min="13776" max="13776" width="6.33203125" style="1" customWidth="1"/>
    <col min="13777" max="13780" width="8" style="1" customWidth="1"/>
    <col min="13781" max="13781" width="7.5" style="1" customWidth="1"/>
    <col min="13782" max="13783" width="8" style="1" customWidth="1"/>
    <col min="13784" max="13785" width="7.6640625" style="1" customWidth="1"/>
    <col min="13786" max="13786" width="9.6640625" style="1" customWidth="1"/>
    <col min="13787" max="13787" width="8.5" style="1" customWidth="1"/>
    <col min="13788" max="13788" width="7.6640625" style="1" customWidth="1"/>
    <col min="13789" max="13789" width="6.33203125" style="1" customWidth="1"/>
    <col min="13790" max="13790" width="8" style="1" customWidth="1"/>
    <col min="13791" max="13791" width="9.6640625" style="1" customWidth="1"/>
    <col min="13792" max="13792" width="8.5" style="1" customWidth="1"/>
    <col min="13793" max="14030" width="9" style="1"/>
    <col min="14031" max="14031" width="6.6640625" style="1" customWidth="1"/>
    <col min="14032" max="14032" width="6.33203125" style="1" customWidth="1"/>
    <col min="14033" max="14036" width="8" style="1" customWidth="1"/>
    <col min="14037" max="14037" width="7.5" style="1" customWidth="1"/>
    <col min="14038" max="14039" width="8" style="1" customWidth="1"/>
    <col min="14040" max="14041" width="7.6640625" style="1" customWidth="1"/>
    <col min="14042" max="14042" width="9.6640625" style="1" customWidth="1"/>
    <col min="14043" max="14043" width="8.5" style="1" customWidth="1"/>
    <col min="14044" max="14044" width="7.6640625" style="1" customWidth="1"/>
    <col min="14045" max="14045" width="6.33203125" style="1" customWidth="1"/>
    <col min="14046" max="14046" width="8" style="1" customWidth="1"/>
    <col min="14047" max="14047" width="9.6640625" style="1" customWidth="1"/>
    <col min="14048" max="14048" width="8.5" style="1" customWidth="1"/>
    <col min="14049" max="14286" width="9" style="1"/>
    <col min="14287" max="14287" width="6.6640625" style="1" customWidth="1"/>
    <col min="14288" max="14288" width="6.33203125" style="1" customWidth="1"/>
    <col min="14289" max="14292" width="8" style="1" customWidth="1"/>
    <col min="14293" max="14293" width="7.5" style="1" customWidth="1"/>
    <col min="14294" max="14295" width="8" style="1" customWidth="1"/>
    <col min="14296" max="14297" width="7.6640625" style="1" customWidth="1"/>
    <col min="14298" max="14298" width="9.6640625" style="1" customWidth="1"/>
    <col min="14299" max="14299" width="8.5" style="1" customWidth="1"/>
    <col min="14300" max="14300" width="7.6640625" style="1" customWidth="1"/>
    <col min="14301" max="14301" width="6.33203125" style="1" customWidth="1"/>
    <col min="14302" max="14302" width="8" style="1" customWidth="1"/>
    <col min="14303" max="14303" width="9.6640625" style="1" customWidth="1"/>
    <col min="14304" max="14304" width="8.5" style="1" customWidth="1"/>
    <col min="14305" max="14542" width="9" style="1"/>
    <col min="14543" max="14543" width="6.6640625" style="1" customWidth="1"/>
    <col min="14544" max="14544" width="6.33203125" style="1" customWidth="1"/>
    <col min="14545" max="14548" width="8" style="1" customWidth="1"/>
    <col min="14549" max="14549" width="7.5" style="1" customWidth="1"/>
    <col min="14550" max="14551" width="8" style="1" customWidth="1"/>
    <col min="14552" max="14553" width="7.6640625" style="1" customWidth="1"/>
    <col min="14554" max="14554" width="9.6640625" style="1" customWidth="1"/>
    <col min="14555" max="14555" width="8.5" style="1" customWidth="1"/>
    <col min="14556" max="14556" width="7.6640625" style="1" customWidth="1"/>
    <col min="14557" max="14557" width="6.33203125" style="1" customWidth="1"/>
    <col min="14558" max="14558" width="8" style="1" customWidth="1"/>
    <col min="14559" max="14559" width="9.6640625" style="1" customWidth="1"/>
    <col min="14560" max="14560" width="8.5" style="1" customWidth="1"/>
    <col min="14561" max="14798" width="9" style="1"/>
    <col min="14799" max="14799" width="6.6640625" style="1" customWidth="1"/>
    <col min="14800" max="14800" width="6.33203125" style="1" customWidth="1"/>
    <col min="14801" max="14804" width="8" style="1" customWidth="1"/>
    <col min="14805" max="14805" width="7.5" style="1" customWidth="1"/>
    <col min="14806" max="14807" width="8" style="1" customWidth="1"/>
    <col min="14808" max="14809" width="7.6640625" style="1" customWidth="1"/>
    <col min="14810" max="14810" width="9.6640625" style="1" customWidth="1"/>
    <col min="14811" max="14811" width="8.5" style="1" customWidth="1"/>
    <col min="14812" max="14812" width="7.6640625" style="1" customWidth="1"/>
    <col min="14813" max="14813" width="6.33203125" style="1" customWidth="1"/>
    <col min="14814" max="14814" width="8" style="1" customWidth="1"/>
    <col min="14815" max="14815" width="9.6640625" style="1" customWidth="1"/>
    <col min="14816" max="14816" width="8.5" style="1" customWidth="1"/>
    <col min="14817" max="15054" width="9" style="1"/>
    <col min="15055" max="15055" width="6.6640625" style="1" customWidth="1"/>
    <col min="15056" max="15056" width="6.33203125" style="1" customWidth="1"/>
    <col min="15057" max="15060" width="8" style="1" customWidth="1"/>
    <col min="15061" max="15061" width="7.5" style="1" customWidth="1"/>
    <col min="15062" max="15063" width="8" style="1" customWidth="1"/>
    <col min="15064" max="15065" width="7.6640625" style="1" customWidth="1"/>
    <col min="15066" max="15066" width="9.6640625" style="1" customWidth="1"/>
    <col min="15067" max="15067" width="8.5" style="1" customWidth="1"/>
    <col min="15068" max="15068" width="7.6640625" style="1" customWidth="1"/>
    <col min="15069" max="15069" width="6.33203125" style="1" customWidth="1"/>
    <col min="15070" max="15070" width="8" style="1" customWidth="1"/>
    <col min="15071" max="15071" width="9.6640625" style="1" customWidth="1"/>
    <col min="15072" max="15072" width="8.5" style="1" customWidth="1"/>
    <col min="15073" max="15310" width="9" style="1"/>
    <col min="15311" max="15311" width="6.6640625" style="1" customWidth="1"/>
    <col min="15312" max="15312" width="6.33203125" style="1" customWidth="1"/>
    <col min="15313" max="15316" width="8" style="1" customWidth="1"/>
    <col min="15317" max="15317" width="7.5" style="1" customWidth="1"/>
    <col min="15318" max="15319" width="8" style="1" customWidth="1"/>
    <col min="15320" max="15321" width="7.6640625" style="1" customWidth="1"/>
    <col min="15322" max="15322" width="9.6640625" style="1" customWidth="1"/>
    <col min="15323" max="15323" width="8.5" style="1" customWidth="1"/>
    <col min="15324" max="15324" width="7.6640625" style="1" customWidth="1"/>
    <col min="15325" max="15325" width="6.33203125" style="1" customWidth="1"/>
    <col min="15326" max="15326" width="8" style="1" customWidth="1"/>
    <col min="15327" max="15327" width="9.6640625" style="1" customWidth="1"/>
    <col min="15328" max="15328" width="8.5" style="1" customWidth="1"/>
    <col min="15329" max="15566" width="9" style="1"/>
    <col min="15567" max="15567" width="6.6640625" style="1" customWidth="1"/>
    <col min="15568" max="15568" width="6.33203125" style="1" customWidth="1"/>
    <col min="15569" max="15572" width="8" style="1" customWidth="1"/>
    <col min="15573" max="15573" width="7.5" style="1" customWidth="1"/>
    <col min="15574" max="15575" width="8" style="1" customWidth="1"/>
    <col min="15576" max="15577" width="7.6640625" style="1" customWidth="1"/>
    <col min="15578" max="15578" width="9.6640625" style="1" customWidth="1"/>
    <col min="15579" max="15579" width="8.5" style="1" customWidth="1"/>
    <col min="15580" max="15580" width="7.6640625" style="1" customWidth="1"/>
    <col min="15581" max="15581" width="6.33203125" style="1" customWidth="1"/>
    <col min="15582" max="15582" width="8" style="1" customWidth="1"/>
    <col min="15583" max="15583" width="9.6640625" style="1" customWidth="1"/>
    <col min="15584" max="15584" width="8.5" style="1" customWidth="1"/>
    <col min="15585" max="15822" width="9" style="1"/>
    <col min="15823" max="15823" width="6.6640625" style="1" customWidth="1"/>
    <col min="15824" max="15824" width="6.33203125" style="1" customWidth="1"/>
    <col min="15825" max="15828" width="8" style="1" customWidth="1"/>
    <col min="15829" max="15829" width="7.5" style="1" customWidth="1"/>
    <col min="15830" max="15831" width="8" style="1" customWidth="1"/>
    <col min="15832" max="15833" width="7.6640625" style="1" customWidth="1"/>
    <col min="15834" max="15834" width="9.6640625" style="1" customWidth="1"/>
    <col min="15835" max="15835" width="8.5" style="1" customWidth="1"/>
    <col min="15836" max="15836" width="7.6640625" style="1" customWidth="1"/>
    <col min="15837" max="15837" width="6.33203125" style="1" customWidth="1"/>
    <col min="15838" max="15838" width="8" style="1" customWidth="1"/>
    <col min="15839" max="15839" width="9.6640625" style="1" customWidth="1"/>
    <col min="15840" max="15840" width="8.5" style="1" customWidth="1"/>
    <col min="15841" max="16078" width="9" style="1"/>
    <col min="16079" max="16079" width="6.6640625" style="1" customWidth="1"/>
    <col min="16080" max="16080" width="6.33203125" style="1" customWidth="1"/>
    <col min="16081" max="16084" width="8" style="1" customWidth="1"/>
    <col min="16085" max="16085" width="7.5" style="1" customWidth="1"/>
    <col min="16086" max="16087" width="8" style="1" customWidth="1"/>
    <col min="16088" max="16089" width="7.6640625" style="1" customWidth="1"/>
    <col min="16090" max="16090" width="9.6640625" style="1" customWidth="1"/>
    <col min="16091" max="16091" width="8.5" style="1" customWidth="1"/>
    <col min="16092" max="16092" width="7.6640625" style="1" customWidth="1"/>
    <col min="16093" max="16093" width="6.33203125" style="1" customWidth="1"/>
    <col min="16094" max="16094" width="8" style="1" customWidth="1"/>
    <col min="16095" max="16095" width="9.6640625" style="1" customWidth="1"/>
    <col min="16096" max="16096" width="8.5" style="1" customWidth="1"/>
    <col min="16097" max="16384" width="9" style="1"/>
  </cols>
  <sheetData>
    <row r="1" spans="1:16" ht="33" customHeight="1">
      <c r="A1" s="14" t="s">
        <v>39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6" ht="18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N2" s="1"/>
      <c r="O2" s="3" t="s">
        <v>0</v>
      </c>
    </row>
    <row r="3" spans="1:16" s="7" customFormat="1" ht="32">
      <c r="A3" s="15" t="s">
        <v>1</v>
      </c>
      <c r="B3" s="18" t="s">
        <v>26</v>
      </c>
      <c r="C3" s="15" t="s">
        <v>27</v>
      </c>
      <c r="D3" s="16" t="s">
        <v>3</v>
      </c>
      <c r="E3" s="15" t="s">
        <v>4</v>
      </c>
      <c r="F3" s="15" t="s">
        <v>5</v>
      </c>
      <c r="G3" s="15" t="s">
        <v>20</v>
      </c>
      <c r="H3" s="15" t="s">
        <v>8</v>
      </c>
      <c r="I3" s="15" t="s">
        <v>9</v>
      </c>
      <c r="J3" s="15" t="s">
        <v>10</v>
      </c>
      <c r="K3" s="15" t="s">
        <v>11</v>
      </c>
      <c r="L3" s="15" t="s">
        <v>12</v>
      </c>
      <c r="M3" s="15" t="s">
        <v>21</v>
      </c>
      <c r="N3" s="15" t="s">
        <v>22</v>
      </c>
      <c r="O3" s="17" t="s">
        <v>15</v>
      </c>
    </row>
    <row r="4" spans="1:16" ht="20.25" customHeight="1">
      <c r="A4" s="9" t="s">
        <v>16</v>
      </c>
      <c r="B4" s="8">
        <f>[1]工资底稿!G2</f>
        <v>28333</v>
      </c>
      <c r="C4" s="8"/>
      <c r="D4" s="8">
        <f>[1]工资底稿!N2</f>
        <v>0</v>
      </c>
      <c r="E4" s="8">
        <f>[1]工资底稿!K2</f>
        <v>3400</v>
      </c>
      <c r="F4" s="8">
        <f>[1]工资底稿!L2</f>
        <v>600</v>
      </c>
      <c r="G4" s="8"/>
      <c r="H4" s="8">
        <f>[1]工资底稿!AA2</f>
        <v>-125.33</v>
      </c>
      <c r="I4" s="8">
        <f>[1]工资底稿!AC2</f>
        <v>-22</v>
      </c>
      <c r="J4" s="8">
        <f>[1]工资底稿!AD2</f>
        <v>-501.3</v>
      </c>
      <c r="K4" s="8">
        <f>[1]工资底稿!AE2</f>
        <v>-2005.2</v>
      </c>
      <c r="L4" s="8">
        <f>[1]工资底稿!AH2</f>
        <v>-3343</v>
      </c>
      <c r="M4" s="8">
        <v>0</v>
      </c>
      <c r="N4" s="8">
        <f>-[1]工资底稿!AO2</f>
        <v>-5199.04</v>
      </c>
      <c r="O4" s="10">
        <f>SUM(B4:N4)-M4</f>
        <v>21137.129999999997</v>
      </c>
      <c r="P4" s="1">
        <f>SUM(B4:G4)</f>
        <v>32333</v>
      </c>
    </row>
    <row r="5" spans="1:16" ht="18" customHeight="1">
      <c r="A5" s="9" t="s">
        <v>16</v>
      </c>
      <c r="B5" s="8">
        <f>[1]工资底稿!G3</f>
        <v>27083</v>
      </c>
      <c r="C5" s="8"/>
      <c r="D5" s="8">
        <f>[1]工资底稿!N3</f>
        <v>0</v>
      </c>
      <c r="E5" s="8">
        <f>[1]工资底稿!K3</f>
        <v>3200</v>
      </c>
      <c r="F5" s="8">
        <f>[1]工资底稿!L3</f>
        <v>500</v>
      </c>
      <c r="G5" s="8"/>
      <c r="H5" s="8">
        <f>[1]工资底稿!AA3</f>
        <v>-125.33</v>
      </c>
      <c r="I5" s="8">
        <f>[1]工资底稿!AC3</f>
        <v>-22</v>
      </c>
      <c r="J5" s="8">
        <f>[1]工资底稿!AD3</f>
        <v>-501.3</v>
      </c>
      <c r="K5" s="8">
        <f>[1]工资底稿!AE3</f>
        <v>-2005.2</v>
      </c>
      <c r="L5" s="8">
        <f>[1]工资底稿!AH3</f>
        <v>-3343</v>
      </c>
      <c r="M5" s="8">
        <v>0</v>
      </c>
      <c r="N5" s="8">
        <f>-[1]工资底稿!AO3</f>
        <v>-4811.54</v>
      </c>
      <c r="O5" s="10">
        <f t="shared" ref="O5" si="0">SUM(B5:N5)-M5</f>
        <v>19974.629999999997</v>
      </c>
      <c r="P5" s="1">
        <f t="shared" ref="P5:P18" si="1">SUM(B5:G5)</f>
        <v>30783</v>
      </c>
    </row>
    <row r="6" spans="1:16" ht="18" customHeight="1">
      <c r="A6" s="9" t="s">
        <v>17</v>
      </c>
      <c r="B6" s="8">
        <v>0</v>
      </c>
      <c r="C6" s="8">
        <f>[1]工资底稿!H4</f>
        <v>10821.5</v>
      </c>
      <c r="D6" s="8">
        <f>[1]工资底稿!N4</f>
        <v>8657.2000000000007</v>
      </c>
      <c r="E6" s="8">
        <f>[1]工资底稿!K4</f>
        <v>0</v>
      </c>
      <c r="F6" s="8">
        <f>[1]工资底稿!L4</f>
        <v>0</v>
      </c>
      <c r="G6" s="8"/>
      <c r="H6" s="8">
        <f>[1]工资底稿!AA4</f>
        <v>-108.3</v>
      </c>
      <c r="I6" s="8">
        <f>[1]工资底稿!AC4</f>
        <v>-22</v>
      </c>
      <c r="J6" s="8">
        <f>[1]工资底稿!AD4</f>
        <v>-433.2</v>
      </c>
      <c r="K6" s="8">
        <f>[1]工资底稿!AE4</f>
        <v>-1732.8</v>
      </c>
      <c r="L6" s="8">
        <f>[1]工资底稿!AH4</f>
        <v>-2599</v>
      </c>
      <c r="M6" s="8">
        <v>0</v>
      </c>
      <c r="N6" s="8">
        <f>-[1]工资底稿!AO4</f>
        <v>-808.34</v>
      </c>
      <c r="O6" s="10">
        <f t="shared" ref="O6:O17" si="2">SUM(C6:N6)-M6</f>
        <v>13775.060000000001</v>
      </c>
      <c r="P6" s="1">
        <f t="shared" si="1"/>
        <v>19478.7</v>
      </c>
    </row>
    <row r="7" spans="1:16" ht="18" customHeight="1">
      <c r="A7" s="9" t="s">
        <v>17</v>
      </c>
      <c r="B7" s="8">
        <v>0</v>
      </c>
      <c r="C7" s="8">
        <f>[1]工资底稿!H5</f>
        <v>11246</v>
      </c>
      <c r="D7" s="8">
        <f>[1]工资底稿!N5</f>
        <v>8996.8000000000011</v>
      </c>
      <c r="E7" s="8">
        <f>[1]工资底稿!K5</f>
        <v>0</v>
      </c>
      <c r="F7" s="8">
        <f>[1]工资底稿!L5</f>
        <v>0</v>
      </c>
      <c r="G7" s="8"/>
      <c r="H7" s="8">
        <f>[1]工资底稿!AA5</f>
        <v>-112.55</v>
      </c>
      <c r="I7" s="8">
        <f>[1]工资底稿!AC5</f>
        <v>-22</v>
      </c>
      <c r="J7" s="8">
        <f>[1]工资底稿!AD5</f>
        <v>-450.18</v>
      </c>
      <c r="K7" s="8">
        <f>[1]工资底稿!AE5</f>
        <v>-1800.72</v>
      </c>
      <c r="L7" s="8">
        <f>[1]工资底稿!AH5</f>
        <v>-2701</v>
      </c>
      <c r="M7" s="8">
        <v>0</v>
      </c>
      <c r="N7" s="8">
        <f>-[1]工资底稿!AO5</f>
        <v>-715.63</v>
      </c>
      <c r="O7" s="10">
        <f t="shared" si="2"/>
        <v>14440.720000000003</v>
      </c>
      <c r="P7" s="1">
        <f t="shared" si="1"/>
        <v>20242.800000000003</v>
      </c>
    </row>
    <row r="8" spans="1:16" ht="18" customHeight="1">
      <c r="A8" s="9" t="s">
        <v>18</v>
      </c>
      <c r="B8" s="8">
        <v>0</v>
      </c>
      <c r="C8" s="8">
        <f>[1]工资底稿!H6</f>
        <v>6250</v>
      </c>
      <c r="D8" s="8">
        <f>[1]工资底稿!N6</f>
        <v>5500.0000000000009</v>
      </c>
      <c r="E8" s="8">
        <f>[1]工资底稿!K6</f>
        <v>0</v>
      </c>
      <c r="F8" s="8">
        <f>[1]工资底稿!L6</f>
        <v>0</v>
      </c>
      <c r="G8" s="8"/>
      <c r="H8" s="8">
        <f>[1]工资底稿!AA6</f>
        <v>-93.84</v>
      </c>
      <c r="I8" s="8">
        <f>[1]工资底稿!AC6</f>
        <v>-22</v>
      </c>
      <c r="J8" s="8">
        <f>[1]工资底稿!AD6</f>
        <v>-375.34</v>
      </c>
      <c r="K8" s="8">
        <f>[1]工资底稿!AE6</f>
        <v>-1501.36</v>
      </c>
      <c r="L8" s="8">
        <f>[1]工资底稿!AH6</f>
        <v>-3343</v>
      </c>
      <c r="M8" s="8">
        <v>0</v>
      </c>
      <c r="N8" s="8">
        <f>-[1]工资底稿!AO6</f>
        <v>0</v>
      </c>
      <c r="O8" s="10">
        <f t="shared" si="2"/>
        <v>6414.4599999999991</v>
      </c>
      <c r="P8" s="1">
        <f t="shared" si="1"/>
        <v>11750</v>
      </c>
    </row>
    <row r="9" spans="1:16" ht="18" customHeight="1">
      <c r="A9" s="9" t="s">
        <v>17</v>
      </c>
      <c r="B9" s="8">
        <v>0</v>
      </c>
      <c r="C9" s="8">
        <f>[1]工资底稿!H7</f>
        <v>12500</v>
      </c>
      <c r="D9" s="8">
        <f>[1]工资底稿!N7</f>
        <v>10000</v>
      </c>
      <c r="E9" s="8">
        <f>[1]工资底稿!K7</f>
        <v>0</v>
      </c>
      <c r="F9" s="8">
        <f>[1]工资底稿!L7</f>
        <v>0</v>
      </c>
      <c r="G9" s="8"/>
      <c r="H9" s="8">
        <f>[1]工资底稿!AA7</f>
        <v>-125.33</v>
      </c>
      <c r="I9" s="8">
        <f>[1]工资底稿!AC7</f>
        <v>-22</v>
      </c>
      <c r="J9" s="8">
        <f>[1]工资底稿!AD7</f>
        <v>-501.3</v>
      </c>
      <c r="K9" s="8">
        <f>[1]工资底稿!AE7</f>
        <v>-2005.2</v>
      </c>
      <c r="L9" s="8">
        <f>[1]工资底稿!AH7</f>
        <v>-3012</v>
      </c>
      <c r="M9" s="8">
        <v>0</v>
      </c>
      <c r="N9" s="8">
        <f>-[1]工资底稿!AO7</f>
        <v>-883.42</v>
      </c>
      <c r="O9" s="10">
        <f t="shared" si="2"/>
        <v>15950.749999999998</v>
      </c>
      <c r="P9" s="1">
        <f t="shared" si="1"/>
        <v>22500</v>
      </c>
    </row>
    <row r="10" spans="1:16" ht="18" customHeight="1">
      <c r="A10" s="9" t="s">
        <v>17</v>
      </c>
      <c r="B10" s="8">
        <v>0</v>
      </c>
      <c r="C10" s="8">
        <f>[1]工资底稿!H8</f>
        <v>9494</v>
      </c>
      <c r="D10" s="8">
        <f>[1]工资底稿!N8</f>
        <v>7595.2000000000007</v>
      </c>
      <c r="E10" s="8">
        <f>[1]工资底稿!K8</f>
        <v>0</v>
      </c>
      <c r="F10" s="8">
        <f>[1]工资底稿!L8</f>
        <v>0</v>
      </c>
      <c r="G10" s="8"/>
      <c r="H10" s="8">
        <f>[1]工资底稿!AA8</f>
        <v>-95.03</v>
      </c>
      <c r="I10" s="8">
        <f>[1]工资底稿!AC8</f>
        <v>-22</v>
      </c>
      <c r="J10" s="8">
        <f>[1]工资底稿!AD8</f>
        <v>-380.1</v>
      </c>
      <c r="K10" s="8">
        <f>[1]工资底稿!AE8</f>
        <v>-1520.4</v>
      </c>
      <c r="L10" s="8">
        <f>[1]工资底稿!AH8</f>
        <v>-2281</v>
      </c>
      <c r="M10" s="8">
        <v>0</v>
      </c>
      <c r="N10" s="8">
        <f>-[1]工资底稿!AO8</f>
        <v>-38.72</v>
      </c>
      <c r="O10" s="10">
        <f t="shared" si="2"/>
        <v>12751.950000000004</v>
      </c>
      <c r="P10" s="1">
        <f t="shared" si="1"/>
        <v>17089.2</v>
      </c>
    </row>
    <row r="11" spans="1:16" ht="18" customHeight="1">
      <c r="A11" s="9" t="s">
        <v>17</v>
      </c>
      <c r="B11" s="8">
        <v>0</v>
      </c>
      <c r="C11" s="8">
        <f>[1]工资底稿!H9</f>
        <v>11870.5</v>
      </c>
      <c r="D11" s="8">
        <f>[1]工资底稿!N9</f>
        <v>9496.4</v>
      </c>
      <c r="E11" s="8">
        <f>[1]工资底稿!K9</f>
        <v>0</v>
      </c>
      <c r="F11" s="8">
        <f>[1]工资底稿!L9</f>
        <v>0</v>
      </c>
      <c r="G11" s="8"/>
      <c r="H11" s="8">
        <f>[1]工资底稿!AA9</f>
        <v>-118.79</v>
      </c>
      <c r="I11" s="8">
        <f>[1]工资底稿!AC9</f>
        <v>-22</v>
      </c>
      <c r="J11" s="8">
        <f>[1]工资底稿!AD9</f>
        <v>-475.16</v>
      </c>
      <c r="K11" s="8">
        <f>[1]工资底稿!AE9</f>
        <v>-1900.64</v>
      </c>
      <c r="L11" s="8">
        <f>[1]工资底稿!AH9</f>
        <v>-2851</v>
      </c>
      <c r="M11" s="8">
        <v>0</v>
      </c>
      <c r="N11" s="8">
        <f>-[1]工资底稿!AO9</f>
        <v>-699.93</v>
      </c>
      <c r="O11" s="10">
        <f t="shared" si="2"/>
        <v>15299.380000000001</v>
      </c>
      <c r="P11" s="1">
        <f t="shared" si="1"/>
        <v>21366.9</v>
      </c>
    </row>
    <row r="12" spans="1:16" ht="18" customHeight="1">
      <c r="A12" s="9" t="s">
        <v>17</v>
      </c>
      <c r="B12" s="8">
        <v>0</v>
      </c>
      <c r="C12" s="8">
        <f>[1]工资底稿!H10</f>
        <v>11500</v>
      </c>
      <c r="D12" s="8">
        <f>[1]工资底稿!N10</f>
        <v>9200</v>
      </c>
      <c r="E12" s="8">
        <f>[1]工资底稿!K10</f>
        <v>0</v>
      </c>
      <c r="F12" s="8">
        <f>[1]工资底稿!L10</f>
        <v>0</v>
      </c>
      <c r="G12" s="8"/>
      <c r="H12" s="8">
        <f>[1]工资底稿!AA10</f>
        <v>-115.97</v>
      </c>
      <c r="I12" s="8">
        <f>[1]工资底稿!AC10</f>
        <v>-22</v>
      </c>
      <c r="J12" s="8">
        <f>[1]工资底稿!AD10</f>
        <v>-463.86</v>
      </c>
      <c r="K12" s="8">
        <f>[1]工资底稿!AE10</f>
        <v>-1855.44</v>
      </c>
      <c r="L12" s="8">
        <f>[1]工资底稿!AH10</f>
        <v>-2783</v>
      </c>
      <c r="M12" s="8">
        <v>0</v>
      </c>
      <c r="N12" s="8">
        <f>-[1]工资底稿!AO10</f>
        <v>-595.97</v>
      </c>
      <c r="O12" s="10">
        <f t="shared" si="2"/>
        <v>14863.76</v>
      </c>
      <c r="P12" s="1">
        <f t="shared" si="1"/>
        <v>20700</v>
      </c>
    </row>
    <row r="13" spans="1:16" ht="18" customHeight="1">
      <c r="A13" s="9" t="s">
        <v>17</v>
      </c>
      <c r="B13" s="8">
        <v>0</v>
      </c>
      <c r="C13" s="8">
        <f>[1]工资底稿!H11</f>
        <v>10600</v>
      </c>
      <c r="D13" s="8">
        <f>[1]工资底稿!N11</f>
        <v>8480</v>
      </c>
      <c r="E13" s="8">
        <f>[1]工资底稿!K11</f>
        <v>0</v>
      </c>
      <c r="F13" s="8">
        <f>[1]工资底稿!L11</f>
        <v>0</v>
      </c>
      <c r="G13" s="8"/>
      <c r="H13" s="8">
        <f>[1]工资底稿!AA11</f>
        <v>-125.33</v>
      </c>
      <c r="I13" s="8">
        <f>[1]工资底稿!AC11</f>
        <v>-22</v>
      </c>
      <c r="J13" s="8">
        <f>[1]工资底稿!AD11</f>
        <v>-501.3</v>
      </c>
      <c r="K13" s="8">
        <f>[1]工资底稿!AE11</f>
        <v>-2005.2</v>
      </c>
      <c r="L13" s="8">
        <f>[1]工资底稿!AH11</f>
        <v>-3343</v>
      </c>
      <c r="M13" s="8">
        <v>0</v>
      </c>
      <c r="N13" s="8">
        <f>-[1]工资底稿!AO11</f>
        <v>-704.32</v>
      </c>
      <c r="O13" s="10">
        <f t="shared" si="2"/>
        <v>12378.849999999999</v>
      </c>
      <c r="P13" s="1">
        <f t="shared" si="1"/>
        <v>19080</v>
      </c>
    </row>
    <row r="14" spans="1:16" ht="18" customHeight="1">
      <c r="A14" s="9" t="s">
        <v>19</v>
      </c>
      <c r="B14" s="8">
        <v>0</v>
      </c>
      <c r="C14" s="8">
        <f>[1]工资底稿!H12</f>
        <v>4250</v>
      </c>
      <c r="D14" s="8">
        <f>[1]工资底稿!N12</f>
        <v>3740</v>
      </c>
      <c r="E14" s="8">
        <f>[1]工资底稿!K12</f>
        <v>0</v>
      </c>
      <c r="F14" s="8">
        <f>[1]工资底稿!L12</f>
        <v>0</v>
      </c>
      <c r="G14" s="8"/>
      <c r="H14" s="8">
        <f>[1]工资底稿!AA12</f>
        <v>-42.5</v>
      </c>
      <c r="I14" s="8">
        <f>[1]工资底稿!AC12</f>
        <v>-22</v>
      </c>
      <c r="J14" s="8">
        <f>[1]工资底稿!AD12</f>
        <v>-170</v>
      </c>
      <c r="K14" s="8">
        <f>[1]工资底稿!AE12</f>
        <v>-680</v>
      </c>
      <c r="L14" s="8">
        <f>[1]工资底稿!AH12</f>
        <v>-1020</v>
      </c>
      <c r="M14" s="8">
        <v>0</v>
      </c>
      <c r="N14" s="8">
        <f>-[1]工资底稿!AO12</f>
        <v>-31.66</v>
      </c>
      <c r="O14" s="10">
        <f t="shared" si="2"/>
        <v>6023.84</v>
      </c>
      <c r="P14" s="1">
        <f t="shared" si="1"/>
        <v>7990</v>
      </c>
    </row>
    <row r="15" spans="1:16" ht="18" customHeight="1">
      <c r="A15" s="9" t="s">
        <v>17</v>
      </c>
      <c r="B15" s="8">
        <v>0</v>
      </c>
      <c r="C15" s="8">
        <f>[1]工资底稿!H13</f>
        <v>12500</v>
      </c>
      <c r="D15" s="8">
        <f>[1]工资底稿!N13</f>
        <v>10000</v>
      </c>
      <c r="E15" s="8">
        <v>0</v>
      </c>
      <c r="F15" s="8">
        <v>0</v>
      </c>
      <c r="G15" s="8"/>
      <c r="H15" s="8">
        <f>[1]工资底稿!AA13</f>
        <v>-125</v>
      </c>
      <c r="I15" s="8">
        <f>[1]工资底稿!AC13</f>
        <v>-22</v>
      </c>
      <c r="J15" s="8">
        <f>[1]工资底稿!AD13</f>
        <v>-500</v>
      </c>
      <c r="K15" s="8">
        <f>[1]工资底稿!AE13</f>
        <v>-2000</v>
      </c>
      <c r="L15" s="8">
        <f>[1]工资底稿!AH13</f>
        <v>-3000</v>
      </c>
      <c r="M15" s="8">
        <v>0</v>
      </c>
      <c r="N15" s="8">
        <f>-[1]工资底稿!AO13</f>
        <v>-1185.3</v>
      </c>
      <c r="O15" s="10">
        <f t="shared" si="2"/>
        <v>15667.7</v>
      </c>
      <c r="P15" s="1">
        <f t="shared" si="1"/>
        <v>22500</v>
      </c>
    </row>
    <row r="16" spans="1:16" ht="18" customHeight="1">
      <c r="A16" s="9" t="s">
        <v>17</v>
      </c>
      <c r="B16" s="8">
        <v>0</v>
      </c>
      <c r="C16" s="8">
        <f>[1]工资底稿!H14</f>
        <v>10000</v>
      </c>
      <c r="D16" s="8">
        <f>[1]工资底稿!N14</f>
        <v>8000</v>
      </c>
      <c r="E16" s="8">
        <v>0</v>
      </c>
      <c r="F16" s="8">
        <v>0</v>
      </c>
      <c r="G16" s="8">
        <v>-434</v>
      </c>
      <c r="H16" s="8">
        <f>[1]工资底稿!AA14</f>
        <v>-100</v>
      </c>
      <c r="I16" s="8">
        <f>[1]工资底稿!AC14</f>
        <v>-22</v>
      </c>
      <c r="J16" s="8">
        <f>[1]工资底稿!AD14</f>
        <v>-400</v>
      </c>
      <c r="K16" s="8">
        <f>[1]工资底稿!AE14</f>
        <v>-1600</v>
      </c>
      <c r="L16" s="8">
        <f>[1]工资底稿!AH14</f>
        <v>-2400</v>
      </c>
      <c r="M16" s="8">
        <v>0</v>
      </c>
      <c r="N16" s="8">
        <f>-[1]工资底稿!AO14</f>
        <v>-241.32</v>
      </c>
      <c r="O16" s="10">
        <f t="shared" si="2"/>
        <v>12802.68</v>
      </c>
      <c r="P16" s="1">
        <f>SUM(B16:G16)</f>
        <v>17566</v>
      </c>
    </row>
    <row r="17" spans="1:16" ht="17.25" customHeight="1">
      <c r="A17" s="9" t="s">
        <v>17</v>
      </c>
      <c r="B17" s="8">
        <v>0</v>
      </c>
      <c r="C17" s="8">
        <f>[1]工资底稿!H15</f>
        <v>7500</v>
      </c>
      <c r="D17" s="8">
        <f>[1]工资底稿!N15</f>
        <v>6000</v>
      </c>
      <c r="E17" s="8">
        <v>0</v>
      </c>
      <c r="F17" s="8">
        <v>0</v>
      </c>
      <c r="G17" s="8"/>
      <c r="H17" s="8">
        <f>[1]工资底稿!AA15</f>
        <v>-75</v>
      </c>
      <c r="I17" s="8">
        <f>[1]工资底稿!AC15</f>
        <v>-22</v>
      </c>
      <c r="J17" s="8">
        <f>[1]工资底稿!AD15</f>
        <v>-300</v>
      </c>
      <c r="K17" s="8">
        <f>[1]工资底稿!AE15</f>
        <v>-1200</v>
      </c>
      <c r="L17" s="8">
        <f>[1]工资底稿!AH15</f>
        <v>-1800</v>
      </c>
      <c r="M17" s="8">
        <v>0</v>
      </c>
      <c r="N17" s="8">
        <f>-[1]工资底稿!AO15</f>
        <v>-148.15</v>
      </c>
      <c r="O17" s="10">
        <f t="shared" si="2"/>
        <v>9954.85</v>
      </c>
      <c r="P17" s="1">
        <f t="shared" si="1"/>
        <v>13500</v>
      </c>
    </row>
    <row r="18" spans="1:16">
      <c r="A18" s="13" t="s">
        <v>23</v>
      </c>
      <c r="B18" s="11">
        <f>SUM(B4:B17)</f>
        <v>55416</v>
      </c>
      <c r="C18" s="11">
        <f>SUM(C4:C17)</f>
        <v>118532</v>
      </c>
      <c r="D18" s="11">
        <f t="shared" ref="D18:O18" si="3">SUM(D4:D17)</f>
        <v>95665.600000000006</v>
      </c>
      <c r="E18" s="11">
        <f t="shared" si="3"/>
        <v>6600</v>
      </c>
      <c r="F18" s="11">
        <f t="shared" si="3"/>
        <v>1100</v>
      </c>
      <c r="G18" s="11">
        <f t="shared" si="3"/>
        <v>-434</v>
      </c>
      <c r="H18" s="11">
        <f t="shared" si="3"/>
        <v>-1488.3</v>
      </c>
      <c r="I18" s="11">
        <f t="shared" si="3"/>
        <v>-308</v>
      </c>
      <c r="J18" s="11">
        <f t="shared" si="3"/>
        <v>-5953.04</v>
      </c>
      <c r="K18" s="11">
        <f t="shared" si="3"/>
        <v>-23812.16</v>
      </c>
      <c r="L18" s="11">
        <f t="shared" si="3"/>
        <v>-37819</v>
      </c>
      <c r="M18" s="11">
        <f t="shared" si="3"/>
        <v>0</v>
      </c>
      <c r="N18" s="11">
        <f t="shared" si="3"/>
        <v>-16063.339999999997</v>
      </c>
      <c r="O18" s="11">
        <f t="shared" si="3"/>
        <v>191435.76000000004</v>
      </c>
      <c r="P18" s="1">
        <f t="shared" si="1"/>
        <v>276879.59999999998</v>
      </c>
    </row>
    <row r="19" spans="1:16">
      <c r="N19" s="1"/>
      <c r="O19" s="12"/>
    </row>
    <row r="20" spans="1:16">
      <c r="M20" s="12"/>
      <c r="N20" s="1"/>
    </row>
    <row r="21" spans="1:16">
      <c r="M21" s="12"/>
      <c r="N21" s="1"/>
    </row>
    <row r="22" spans="1:16">
      <c r="M22" s="12"/>
      <c r="N22" s="1"/>
    </row>
  </sheetData>
  <phoneticPr fontId="4" type="noConversion"/>
  <pageMargins left="0.31496062992126" right="0.196850393700787" top="0.74803149606299202" bottom="0.74803149606299202" header="0.31496062992126" footer="0.31496062992126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1BE34-454E-4085-B36A-4FCFF26B5755}">
  <sheetPr>
    <tabColor rgb="FFFFC000"/>
  </sheetPr>
  <dimension ref="A1:R23"/>
  <sheetViews>
    <sheetView workbookViewId="0"/>
  </sheetViews>
  <sheetFormatPr baseColWidth="10" defaultColWidth="9" defaultRowHeight="15"/>
  <cols>
    <col min="1" max="1" width="21.33203125" style="1" bestFit="1" customWidth="1"/>
    <col min="2" max="2" width="10.5" style="1" bestFit="1" customWidth="1"/>
    <col min="3" max="3" width="10.5" style="1" customWidth="1"/>
    <col min="4" max="4" width="8.6640625" style="1" customWidth="1"/>
    <col min="5" max="5" width="8.83203125" style="1" customWidth="1"/>
    <col min="6" max="10" width="9.83203125" style="1" customWidth="1"/>
    <col min="11" max="11" width="9.5" style="1" customWidth="1"/>
    <col min="12" max="12" width="8.5" style="1" bestFit="1" customWidth="1"/>
    <col min="13" max="13" width="9.1640625" style="1" customWidth="1"/>
    <col min="14" max="14" width="11.6640625" style="1" customWidth="1"/>
    <col min="15" max="15" width="10.5" style="1" bestFit="1" customWidth="1"/>
    <col min="16" max="16" width="9" style="1" hidden="1" customWidth="1"/>
    <col min="17" max="17" width="10.5" style="1" bestFit="1" customWidth="1"/>
    <col min="18" max="18" width="16.1640625" style="12" customWidth="1"/>
    <col min="19" max="19" width="9" style="1" customWidth="1"/>
    <col min="20" max="211" width="9" style="1"/>
    <col min="212" max="212" width="6.6640625" style="1" customWidth="1"/>
    <col min="213" max="213" width="6.33203125" style="1" customWidth="1"/>
    <col min="214" max="217" width="8" style="1" customWidth="1"/>
    <col min="218" max="218" width="7.5" style="1" customWidth="1"/>
    <col min="219" max="220" width="8" style="1" customWidth="1"/>
    <col min="221" max="222" width="7.6640625" style="1" customWidth="1"/>
    <col min="223" max="223" width="9.6640625" style="1" customWidth="1"/>
    <col min="224" max="224" width="8.5" style="1" customWidth="1"/>
    <col min="225" max="225" width="7.6640625" style="1" customWidth="1"/>
    <col min="226" max="226" width="6.33203125" style="1" customWidth="1"/>
    <col min="227" max="227" width="8" style="1" customWidth="1"/>
    <col min="228" max="228" width="9.6640625" style="1" customWidth="1"/>
    <col min="229" max="229" width="8.5" style="1" customWidth="1"/>
    <col min="230" max="467" width="9" style="1"/>
    <col min="468" max="468" width="6.6640625" style="1" customWidth="1"/>
    <col min="469" max="469" width="6.33203125" style="1" customWidth="1"/>
    <col min="470" max="473" width="8" style="1" customWidth="1"/>
    <col min="474" max="474" width="7.5" style="1" customWidth="1"/>
    <col min="475" max="476" width="8" style="1" customWidth="1"/>
    <col min="477" max="478" width="7.6640625" style="1" customWidth="1"/>
    <col min="479" max="479" width="9.6640625" style="1" customWidth="1"/>
    <col min="480" max="480" width="8.5" style="1" customWidth="1"/>
    <col min="481" max="481" width="7.6640625" style="1" customWidth="1"/>
    <col min="482" max="482" width="6.33203125" style="1" customWidth="1"/>
    <col min="483" max="483" width="8" style="1" customWidth="1"/>
    <col min="484" max="484" width="9.6640625" style="1" customWidth="1"/>
    <col min="485" max="485" width="8.5" style="1" customWidth="1"/>
    <col min="486" max="723" width="9" style="1"/>
    <col min="724" max="724" width="6.6640625" style="1" customWidth="1"/>
    <col min="725" max="725" width="6.33203125" style="1" customWidth="1"/>
    <col min="726" max="729" width="8" style="1" customWidth="1"/>
    <col min="730" max="730" width="7.5" style="1" customWidth="1"/>
    <col min="731" max="732" width="8" style="1" customWidth="1"/>
    <col min="733" max="734" width="7.6640625" style="1" customWidth="1"/>
    <col min="735" max="735" width="9.6640625" style="1" customWidth="1"/>
    <col min="736" max="736" width="8.5" style="1" customWidth="1"/>
    <col min="737" max="737" width="7.6640625" style="1" customWidth="1"/>
    <col min="738" max="738" width="6.33203125" style="1" customWidth="1"/>
    <col min="739" max="739" width="8" style="1" customWidth="1"/>
    <col min="740" max="740" width="9.6640625" style="1" customWidth="1"/>
    <col min="741" max="741" width="8.5" style="1" customWidth="1"/>
    <col min="742" max="979" width="9" style="1"/>
    <col min="980" max="980" width="6.6640625" style="1" customWidth="1"/>
    <col min="981" max="981" width="6.33203125" style="1" customWidth="1"/>
    <col min="982" max="985" width="8" style="1" customWidth="1"/>
    <col min="986" max="986" width="7.5" style="1" customWidth="1"/>
    <col min="987" max="988" width="8" style="1" customWidth="1"/>
    <col min="989" max="990" width="7.6640625" style="1" customWidth="1"/>
    <col min="991" max="991" width="9.6640625" style="1" customWidth="1"/>
    <col min="992" max="992" width="8.5" style="1" customWidth="1"/>
    <col min="993" max="993" width="7.6640625" style="1" customWidth="1"/>
    <col min="994" max="994" width="6.33203125" style="1" customWidth="1"/>
    <col min="995" max="995" width="8" style="1" customWidth="1"/>
    <col min="996" max="996" width="9.6640625" style="1" customWidth="1"/>
    <col min="997" max="997" width="8.5" style="1" customWidth="1"/>
    <col min="998" max="1235" width="9" style="1"/>
    <col min="1236" max="1236" width="6.6640625" style="1" customWidth="1"/>
    <col min="1237" max="1237" width="6.33203125" style="1" customWidth="1"/>
    <col min="1238" max="1241" width="8" style="1" customWidth="1"/>
    <col min="1242" max="1242" width="7.5" style="1" customWidth="1"/>
    <col min="1243" max="1244" width="8" style="1" customWidth="1"/>
    <col min="1245" max="1246" width="7.6640625" style="1" customWidth="1"/>
    <col min="1247" max="1247" width="9.6640625" style="1" customWidth="1"/>
    <col min="1248" max="1248" width="8.5" style="1" customWidth="1"/>
    <col min="1249" max="1249" width="7.6640625" style="1" customWidth="1"/>
    <col min="1250" max="1250" width="6.33203125" style="1" customWidth="1"/>
    <col min="1251" max="1251" width="8" style="1" customWidth="1"/>
    <col min="1252" max="1252" width="9.6640625" style="1" customWidth="1"/>
    <col min="1253" max="1253" width="8.5" style="1" customWidth="1"/>
    <col min="1254" max="1491" width="9" style="1"/>
    <col min="1492" max="1492" width="6.6640625" style="1" customWidth="1"/>
    <col min="1493" max="1493" width="6.33203125" style="1" customWidth="1"/>
    <col min="1494" max="1497" width="8" style="1" customWidth="1"/>
    <col min="1498" max="1498" width="7.5" style="1" customWidth="1"/>
    <col min="1499" max="1500" width="8" style="1" customWidth="1"/>
    <col min="1501" max="1502" width="7.6640625" style="1" customWidth="1"/>
    <col min="1503" max="1503" width="9.6640625" style="1" customWidth="1"/>
    <col min="1504" max="1504" width="8.5" style="1" customWidth="1"/>
    <col min="1505" max="1505" width="7.6640625" style="1" customWidth="1"/>
    <col min="1506" max="1506" width="6.33203125" style="1" customWidth="1"/>
    <col min="1507" max="1507" width="8" style="1" customWidth="1"/>
    <col min="1508" max="1508" width="9.6640625" style="1" customWidth="1"/>
    <col min="1509" max="1509" width="8.5" style="1" customWidth="1"/>
    <col min="1510" max="1747" width="9" style="1"/>
    <col min="1748" max="1748" width="6.6640625" style="1" customWidth="1"/>
    <col min="1749" max="1749" width="6.33203125" style="1" customWidth="1"/>
    <col min="1750" max="1753" width="8" style="1" customWidth="1"/>
    <col min="1754" max="1754" width="7.5" style="1" customWidth="1"/>
    <col min="1755" max="1756" width="8" style="1" customWidth="1"/>
    <col min="1757" max="1758" width="7.6640625" style="1" customWidth="1"/>
    <col min="1759" max="1759" width="9.6640625" style="1" customWidth="1"/>
    <col min="1760" max="1760" width="8.5" style="1" customWidth="1"/>
    <col min="1761" max="1761" width="7.6640625" style="1" customWidth="1"/>
    <col min="1762" max="1762" width="6.33203125" style="1" customWidth="1"/>
    <col min="1763" max="1763" width="8" style="1" customWidth="1"/>
    <col min="1764" max="1764" width="9.6640625" style="1" customWidth="1"/>
    <col min="1765" max="1765" width="8.5" style="1" customWidth="1"/>
    <col min="1766" max="2003" width="9" style="1"/>
    <col min="2004" max="2004" width="6.6640625" style="1" customWidth="1"/>
    <col min="2005" max="2005" width="6.33203125" style="1" customWidth="1"/>
    <col min="2006" max="2009" width="8" style="1" customWidth="1"/>
    <col min="2010" max="2010" width="7.5" style="1" customWidth="1"/>
    <col min="2011" max="2012" width="8" style="1" customWidth="1"/>
    <col min="2013" max="2014" width="7.6640625" style="1" customWidth="1"/>
    <col min="2015" max="2015" width="9.6640625" style="1" customWidth="1"/>
    <col min="2016" max="2016" width="8.5" style="1" customWidth="1"/>
    <col min="2017" max="2017" width="7.6640625" style="1" customWidth="1"/>
    <col min="2018" max="2018" width="6.33203125" style="1" customWidth="1"/>
    <col min="2019" max="2019" width="8" style="1" customWidth="1"/>
    <col min="2020" max="2020" width="9.6640625" style="1" customWidth="1"/>
    <col min="2021" max="2021" width="8.5" style="1" customWidth="1"/>
    <col min="2022" max="2259" width="9" style="1"/>
    <col min="2260" max="2260" width="6.6640625" style="1" customWidth="1"/>
    <col min="2261" max="2261" width="6.33203125" style="1" customWidth="1"/>
    <col min="2262" max="2265" width="8" style="1" customWidth="1"/>
    <col min="2266" max="2266" width="7.5" style="1" customWidth="1"/>
    <col min="2267" max="2268" width="8" style="1" customWidth="1"/>
    <col min="2269" max="2270" width="7.6640625" style="1" customWidth="1"/>
    <col min="2271" max="2271" width="9.6640625" style="1" customWidth="1"/>
    <col min="2272" max="2272" width="8.5" style="1" customWidth="1"/>
    <col min="2273" max="2273" width="7.6640625" style="1" customWidth="1"/>
    <col min="2274" max="2274" width="6.33203125" style="1" customWidth="1"/>
    <col min="2275" max="2275" width="8" style="1" customWidth="1"/>
    <col min="2276" max="2276" width="9.6640625" style="1" customWidth="1"/>
    <col min="2277" max="2277" width="8.5" style="1" customWidth="1"/>
    <col min="2278" max="2515" width="9" style="1"/>
    <col min="2516" max="2516" width="6.6640625" style="1" customWidth="1"/>
    <col min="2517" max="2517" width="6.33203125" style="1" customWidth="1"/>
    <col min="2518" max="2521" width="8" style="1" customWidth="1"/>
    <col min="2522" max="2522" width="7.5" style="1" customWidth="1"/>
    <col min="2523" max="2524" width="8" style="1" customWidth="1"/>
    <col min="2525" max="2526" width="7.6640625" style="1" customWidth="1"/>
    <col min="2527" max="2527" width="9.6640625" style="1" customWidth="1"/>
    <col min="2528" max="2528" width="8.5" style="1" customWidth="1"/>
    <col min="2529" max="2529" width="7.6640625" style="1" customWidth="1"/>
    <col min="2530" max="2530" width="6.33203125" style="1" customWidth="1"/>
    <col min="2531" max="2531" width="8" style="1" customWidth="1"/>
    <col min="2532" max="2532" width="9.6640625" style="1" customWidth="1"/>
    <col min="2533" max="2533" width="8.5" style="1" customWidth="1"/>
    <col min="2534" max="2771" width="9" style="1"/>
    <col min="2772" max="2772" width="6.6640625" style="1" customWidth="1"/>
    <col min="2773" max="2773" width="6.33203125" style="1" customWidth="1"/>
    <col min="2774" max="2777" width="8" style="1" customWidth="1"/>
    <col min="2778" max="2778" width="7.5" style="1" customWidth="1"/>
    <col min="2779" max="2780" width="8" style="1" customWidth="1"/>
    <col min="2781" max="2782" width="7.6640625" style="1" customWidth="1"/>
    <col min="2783" max="2783" width="9.6640625" style="1" customWidth="1"/>
    <col min="2784" max="2784" width="8.5" style="1" customWidth="1"/>
    <col min="2785" max="2785" width="7.6640625" style="1" customWidth="1"/>
    <col min="2786" max="2786" width="6.33203125" style="1" customWidth="1"/>
    <col min="2787" max="2787" width="8" style="1" customWidth="1"/>
    <col min="2788" max="2788" width="9.6640625" style="1" customWidth="1"/>
    <col min="2789" max="2789" width="8.5" style="1" customWidth="1"/>
    <col min="2790" max="3027" width="9" style="1"/>
    <col min="3028" max="3028" width="6.6640625" style="1" customWidth="1"/>
    <col min="3029" max="3029" width="6.33203125" style="1" customWidth="1"/>
    <col min="3030" max="3033" width="8" style="1" customWidth="1"/>
    <col min="3034" max="3034" width="7.5" style="1" customWidth="1"/>
    <col min="3035" max="3036" width="8" style="1" customWidth="1"/>
    <col min="3037" max="3038" width="7.6640625" style="1" customWidth="1"/>
    <col min="3039" max="3039" width="9.6640625" style="1" customWidth="1"/>
    <col min="3040" max="3040" width="8.5" style="1" customWidth="1"/>
    <col min="3041" max="3041" width="7.6640625" style="1" customWidth="1"/>
    <col min="3042" max="3042" width="6.33203125" style="1" customWidth="1"/>
    <col min="3043" max="3043" width="8" style="1" customWidth="1"/>
    <col min="3044" max="3044" width="9.6640625" style="1" customWidth="1"/>
    <col min="3045" max="3045" width="8.5" style="1" customWidth="1"/>
    <col min="3046" max="3283" width="9" style="1"/>
    <col min="3284" max="3284" width="6.6640625" style="1" customWidth="1"/>
    <col min="3285" max="3285" width="6.33203125" style="1" customWidth="1"/>
    <col min="3286" max="3289" width="8" style="1" customWidth="1"/>
    <col min="3290" max="3290" width="7.5" style="1" customWidth="1"/>
    <col min="3291" max="3292" width="8" style="1" customWidth="1"/>
    <col min="3293" max="3294" width="7.6640625" style="1" customWidth="1"/>
    <col min="3295" max="3295" width="9.6640625" style="1" customWidth="1"/>
    <col min="3296" max="3296" width="8.5" style="1" customWidth="1"/>
    <col min="3297" max="3297" width="7.6640625" style="1" customWidth="1"/>
    <col min="3298" max="3298" width="6.33203125" style="1" customWidth="1"/>
    <col min="3299" max="3299" width="8" style="1" customWidth="1"/>
    <col min="3300" max="3300" width="9.6640625" style="1" customWidth="1"/>
    <col min="3301" max="3301" width="8.5" style="1" customWidth="1"/>
    <col min="3302" max="3539" width="9" style="1"/>
    <col min="3540" max="3540" width="6.6640625" style="1" customWidth="1"/>
    <col min="3541" max="3541" width="6.33203125" style="1" customWidth="1"/>
    <col min="3542" max="3545" width="8" style="1" customWidth="1"/>
    <col min="3546" max="3546" width="7.5" style="1" customWidth="1"/>
    <col min="3547" max="3548" width="8" style="1" customWidth="1"/>
    <col min="3549" max="3550" width="7.6640625" style="1" customWidth="1"/>
    <col min="3551" max="3551" width="9.6640625" style="1" customWidth="1"/>
    <col min="3552" max="3552" width="8.5" style="1" customWidth="1"/>
    <col min="3553" max="3553" width="7.6640625" style="1" customWidth="1"/>
    <col min="3554" max="3554" width="6.33203125" style="1" customWidth="1"/>
    <col min="3555" max="3555" width="8" style="1" customWidth="1"/>
    <col min="3556" max="3556" width="9.6640625" style="1" customWidth="1"/>
    <col min="3557" max="3557" width="8.5" style="1" customWidth="1"/>
    <col min="3558" max="3795" width="9" style="1"/>
    <col min="3796" max="3796" width="6.6640625" style="1" customWidth="1"/>
    <col min="3797" max="3797" width="6.33203125" style="1" customWidth="1"/>
    <col min="3798" max="3801" width="8" style="1" customWidth="1"/>
    <col min="3802" max="3802" width="7.5" style="1" customWidth="1"/>
    <col min="3803" max="3804" width="8" style="1" customWidth="1"/>
    <col min="3805" max="3806" width="7.6640625" style="1" customWidth="1"/>
    <col min="3807" max="3807" width="9.6640625" style="1" customWidth="1"/>
    <col min="3808" max="3808" width="8.5" style="1" customWidth="1"/>
    <col min="3809" max="3809" width="7.6640625" style="1" customWidth="1"/>
    <col min="3810" max="3810" width="6.33203125" style="1" customWidth="1"/>
    <col min="3811" max="3811" width="8" style="1" customWidth="1"/>
    <col min="3812" max="3812" width="9.6640625" style="1" customWidth="1"/>
    <col min="3813" max="3813" width="8.5" style="1" customWidth="1"/>
    <col min="3814" max="4051" width="9" style="1"/>
    <col min="4052" max="4052" width="6.6640625" style="1" customWidth="1"/>
    <col min="4053" max="4053" width="6.33203125" style="1" customWidth="1"/>
    <col min="4054" max="4057" width="8" style="1" customWidth="1"/>
    <col min="4058" max="4058" width="7.5" style="1" customWidth="1"/>
    <col min="4059" max="4060" width="8" style="1" customWidth="1"/>
    <col min="4061" max="4062" width="7.6640625" style="1" customWidth="1"/>
    <col min="4063" max="4063" width="9.6640625" style="1" customWidth="1"/>
    <col min="4064" max="4064" width="8.5" style="1" customWidth="1"/>
    <col min="4065" max="4065" width="7.6640625" style="1" customWidth="1"/>
    <col min="4066" max="4066" width="6.33203125" style="1" customWidth="1"/>
    <col min="4067" max="4067" width="8" style="1" customWidth="1"/>
    <col min="4068" max="4068" width="9.6640625" style="1" customWidth="1"/>
    <col min="4069" max="4069" width="8.5" style="1" customWidth="1"/>
    <col min="4070" max="4307" width="9" style="1"/>
    <col min="4308" max="4308" width="6.6640625" style="1" customWidth="1"/>
    <col min="4309" max="4309" width="6.33203125" style="1" customWidth="1"/>
    <col min="4310" max="4313" width="8" style="1" customWidth="1"/>
    <col min="4314" max="4314" width="7.5" style="1" customWidth="1"/>
    <col min="4315" max="4316" width="8" style="1" customWidth="1"/>
    <col min="4317" max="4318" width="7.6640625" style="1" customWidth="1"/>
    <col min="4319" max="4319" width="9.6640625" style="1" customWidth="1"/>
    <col min="4320" max="4320" width="8.5" style="1" customWidth="1"/>
    <col min="4321" max="4321" width="7.6640625" style="1" customWidth="1"/>
    <col min="4322" max="4322" width="6.33203125" style="1" customWidth="1"/>
    <col min="4323" max="4323" width="8" style="1" customWidth="1"/>
    <col min="4324" max="4324" width="9.6640625" style="1" customWidth="1"/>
    <col min="4325" max="4325" width="8.5" style="1" customWidth="1"/>
    <col min="4326" max="4563" width="9" style="1"/>
    <col min="4564" max="4564" width="6.6640625" style="1" customWidth="1"/>
    <col min="4565" max="4565" width="6.33203125" style="1" customWidth="1"/>
    <col min="4566" max="4569" width="8" style="1" customWidth="1"/>
    <col min="4570" max="4570" width="7.5" style="1" customWidth="1"/>
    <col min="4571" max="4572" width="8" style="1" customWidth="1"/>
    <col min="4573" max="4574" width="7.6640625" style="1" customWidth="1"/>
    <col min="4575" max="4575" width="9.6640625" style="1" customWidth="1"/>
    <col min="4576" max="4576" width="8.5" style="1" customWidth="1"/>
    <col min="4577" max="4577" width="7.6640625" style="1" customWidth="1"/>
    <col min="4578" max="4578" width="6.33203125" style="1" customWidth="1"/>
    <col min="4579" max="4579" width="8" style="1" customWidth="1"/>
    <col min="4580" max="4580" width="9.6640625" style="1" customWidth="1"/>
    <col min="4581" max="4581" width="8.5" style="1" customWidth="1"/>
    <col min="4582" max="4819" width="9" style="1"/>
    <col min="4820" max="4820" width="6.6640625" style="1" customWidth="1"/>
    <col min="4821" max="4821" width="6.33203125" style="1" customWidth="1"/>
    <col min="4822" max="4825" width="8" style="1" customWidth="1"/>
    <col min="4826" max="4826" width="7.5" style="1" customWidth="1"/>
    <col min="4827" max="4828" width="8" style="1" customWidth="1"/>
    <col min="4829" max="4830" width="7.6640625" style="1" customWidth="1"/>
    <col min="4831" max="4831" width="9.6640625" style="1" customWidth="1"/>
    <col min="4832" max="4832" width="8.5" style="1" customWidth="1"/>
    <col min="4833" max="4833" width="7.6640625" style="1" customWidth="1"/>
    <col min="4834" max="4834" width="6.33203125" style="1" customWidth="1"/>
    <col min="4835" max="4835" width="8" style="1" customWidth="1"/>
    <col min="4836" max="4836" width="9.6640625" style="1" customWidth="1"/>
    <col min="4837" max="4837" width="8.5" style="1" customWidth="1"/>
    <col min="4838" max="5075" width="9" style="1"/>
    <col min="5076" max="5076" width="6.6640625" style="1" customWidth="1"/>
    <col min="5077" max="5077" width="6.33203125" style="1" customWidth="1"/>
    <col min="5078" max="5081" width="8" style="1" customWidth="1"/>
    <col min="5082" max="5082" width="7.5" style="1" customWidth="1"/>
    <col min="5083" max="5084" width="8" style="1" customWidth="1"/>
    <col min="5085" max="5086" width="7.6640625" style="1" customWidth="1"/>
    <col min="5087" max="5087" width="9.6640625" style="1" customWidth="1"/>
    <col min="5088" max="5088" width="8.5" style="1" customWidth="1"/>
    <col min="5089" max="5089" width="7.6640625" style="1" customWidth="1"/>
    <col min="5090" max="5090" width="6.33203125" style="1" customWidth="1"/>
    <col min="5091" max="5091" width="8" style="1" customWidth="1"/>
    <col min="5092" max="5092" width="9.6640625" style="1" customWidth="1"/>
    <col min="5093" max="5093" width="8.5" style="1" customWidth="1"/>
    <col min="5094" max="5331" width="9" style="1"/>
    <col min="5332" max="5332" width="6.6640625" style="1" customWidth="1"/>
    <col min="5333" max="5333" width="6.33203125" style="1" customWidth="1"/>
    <col min="5334" max="5337" width="8" style="1" customWidth="1"/>
    <col min="5338" max="5338" width="7.5" style="1" customWidth="1"/>
    <col min="5339" max="5340" width="8" style="1" customWidth="1"/>
    <col min="5341" max="5342" width="7.6640625" style="1" customWidth="1"/>
    <col min="5343" max="5343" width="9.6640625" style="1" customWidth="1"/>
    <col min="5344" max="5344" width="8.5" style="1" customWidth="1"/>
    <col min="5345" max="5345" width="7.6640625" style="1" customWidth="1"/>
    <col min="5346" max="5346" width="6.33203125" style="1" customWidth="1"/>
    <col min="5347" max="5347" width="8" style="1" customWidth="1"/>
    <col min="5348" max="5348" width="9.6640625" style="1" customWidth="1"/>
    <col min="5349" max="5349" width="8.5" style="1" customWidth="1"/>
    <col min="5350" max="5587" width="9" style="1"/>
    <col min="5588" max="5588" width="6.6640625" style="1" customWidth="1"/>
    <col min="5589" max="5589" width="6.33203125" style="1" customWidth="1"/>
    <col min="5590" max="5593" width="8" style="1" customWidth="1"/>
    <col min="5594" max="5594" width="7.5" style="1" customWidth="1"/>
    <col min="5595" max="5596" width="8" style="1" customWidth="1"/>
    <col min="5597" max="5598" width="7.6640625" style="1" customWidth="1"/>
    <col min="5599" max="5599" width="9.6640625" style="1" customWidth="1"/>
    <col min="5600" max="5600" width="8.5" style="1" customWidth="1"/>
    <col min="5601" max="5601" width="7.6640625" style="1" customWidth="1"/>
    <col min="5602" max="5602" width="6.33203125" style="1" customWidth="1"/>
    <col min="5603" max="5603" width="8" style="1" customWidth="1"/>
    <col min="5604" max="5604" width="9.6640625" style="1" customWidth="1"/>
    <col min="5605" max="5605" width="8.5" style="1" customWidth="1"/>
    <col min="5606" max="5843" width="9" style="1"/>
    <col min="5844" max="5844" width="6.6640625" style="1" customWidth="1"/>
    <col min="5845" max="5845" width="6.33203125" style="1" customWidth="1"/>
    <col min="5846" max="5849" width="8" style="1" customWidth="1"/>
    <col min="5850" max="5850" width="7.5" style="1" customWidth="1"/>
    <col min="5851" max="5852" width="8" style="1" customWidth="1"/>
    <col min="5853" max="5854" width="7.6640625" style="1" customWidth="1"/>
    <col min="5855" max="5855" width="9.6640625" style="1" customWidth="1"/>
    <col min="5856" max="5856" width="8.5" style="1" customWidth="1"/>
    <col min="5857" max="5857" width="7.6640625" style="1" customWidth="1"/>
    <col min="5858" max="5858" width="6.33203125" style="1" customWidth="1"/>
    <col min="5859" max="5859" width="8" style="1" customWidth="1"/>
    <col min="5860" max="5860" width="9.6640625" style="1" customWidth="1"/>
    <col min="5861" max="5861" width="8.5" style="1" customWidth="1"/>
    <col min="5862" max="6099" width="9" style="1"/>
    <col min="6100" max="6100" width="6.6640625" style="1" customWidth="1"/>
    <col min="6101" max="6101" width="6.33203125" style="1" customWidth="1"/>
    <col min="6102" max="6105" width="8" style="1" customWidth="1"/>
    <col min="6106" max="6106" width="7.5" style="1" customWidth="1"/>
    <col min="6107" max="6108" width="8" style="1" customWidth="1"/>
    <col min="6109" max="6110" width="7.6640625" style="1" customWidth="1"/>
    <col min="6111" max="6111" width="9.6640625" style="1" customWidth="1"/>
    <col min="6112" max="6112" width="8.5" style="1" customWidth="1"/>
    <col min="6113" max="6113" width="7.6640625" style="1" customWidth="1"/>
    <col min="6114" max="6114" width="6.33203125" style="1" customWidth="1"/>
    <col min="6115" max="6115" width="8" style="1" customWidth="1"/>
    <col min="6116" max="6116" width="9.6640625" style="1" customWidth="1"/>
    <col min="6117" max="6117" width="8.5" style="1" customWidth="1"/>
    <col min="6118" max="6355" width="9" style="1"/>
    <col min="6356" max="6356" width="6.6640625" style="1" customWidth="1"/>
    <col min="6357" max="6357" width="6.33203125" style="1" customWidth="1"/>
    <col min="6358" max="6361" width="8" style="1" customWidth="1"/>
    <col min="6362" max="6362" width="7.5" style="1" customWidth="1"/>
    <col min="6363" max="6364" width="8" style="1" customWidth="1"/>
    <col min="6365" max="6366" width="7.6640625" style="1" customWidth="1"/>
    <col min="6367" max="6367" width="9.6640625" style="1" customWidth="1"/>
    <col min="6368" max="6368" width="8.5" style="1" customWidth="1"/>
    <col min="6369" max="6369" width="7.6640625" style="1" customWidth="1"/>
    <col min="6370" max="6370" width="6.33203125" style="1" customWidth="1"/>
    <col min="6371" max="6371" width="8" style="1" customWidth="1"/>
    <col min="6372" max="6372" width="9.6640625" style="1" customWidth="1"/>
    <col min="6373" max="6373" width="8.5" style="1" customWidth="1"/>
    <col min="6374" max="6611" width="9" style="1"/>
    <col min="6612" max="6612" width="6.6640625" style="1" customWidth="1"/>
    <col min="6613" max="6613" width="6.33203125" style="1" customWidth="1"/>
    <col min="6614" max="6617" width="8" style="1" customWidth="1"/>
    <col min="6618" max="6618" width="7.5" style="1" customWidth="1"/>
    <col min="6619" max="6620" width="8" style="1" customWidth="1"/>
    <col min="6621" max="6622" width="7.6640625" style="1" customWidth="1"/>
    <col min="6623" max="6623" width="9.6640625" style="1" customWidth="1"/>
    <col min="6624" max="6624" width="8.5" style="1" customWidth="1"/>
    <col min="6625" max="6625" width="7.6640625" style="1" customWidth="1"/>
    <col min="6626" max="6626" width="6.33203125" style="1" customWidth="1"/>
    <col min="6627" max="6627" width="8" style="1" customWidth="1"/>
    <col min="6628" max="6628" width="9.6640625" style="1" customWidth="1"/>
    <col min="6629" max="6629" width="8.5" style="1" customWidth="1"/>
    <col min="6630" max="6867" width="9" style="1"/>
    <col min="6868" max="6868" width="6.6640625" style="1" customWidth="1"/>
    <col min="6869" max="6869" width="6.33203125" style="1" customWidth="1"/>
    <col min="6870" max="6873" width="8" style="1" customWidth="1"/>
    <col min="6874" max="6874" width="7.5" style="1" customWidth="1"/>
    <col min="6875" max="6876" width="8" style="1" customWidth="1"/>
    <col min="6877" max="6878" width="7.6640625" style="1" customWidth="1"/>
    <col min="6879" max="6879" width="9.6640625" style="1" customWidth="1"/>
    <col min="6880" max="6880" width="8.5" style="1" customWidth="1"/>
    <col min="6881" max="6881" width="7.6640625" style="1" customWidth="1"/>
    <col min="6882" max="6882" width="6.33203125" style="1" customWidth="1"/>
    <col min="6883" max="6883" width="8" style="1" customWidth="1"/>
    <col min="6884" max="6884" width="9.6640625" style="1" customWidth="1"/>
    <col min="6885" max="6885" width="8.5" style="1" customWidth="1"/>
    <col min="6886" max="7123" width="9" style="1"/>
    <col min="7124" max="7124" width="6.6640625" style="1" customWidth="1"/>
    <col min="7125" max="7125" width="6.33203125" style="1" customWidth="1"/>
    <col min="7126" max="7129" width="8" style="1" customWidth="1"/>
    <col min="7130" max="7130" width="7.5" style="1" customWidth="1"/>
    <col min="7131" max="7132" width="8" style="1" customWidth="1"/>
    <col min="7133" max="7134" width="7.6640625" style="1" customWidth="1"/>
    <col min="7135" max="7135" width="9.6640625" style="1" customWidth="1"/>
    <col min="7136" max="7136" width="8.5" style="1" customWidth="1"/>
    <col min="7137" max="7137" width="7.6640625" style="1" customWidth="1"/>
    <col min="7138" max="7138" width="6.33203125" style="1" customWidth="1"/>
    <col min="7139" max="7139" width="8" style="1" customWidth="1"/>
    <col min="7140" max="7140" width="9.6640625" style="1" customWidth="1"/>
    <col min="7141" max="7141" width="8.5" style="1" customWidth="1"/>
    <col min="7142" max="7379" width="9" style="1"/>
    <col min="7380" max="7380" width="6.6640625" style="1" customWidth="1"/>
    <col min="7381" max="7381" width="6.33203125" style="1" customWidth="1"/>
    <col min="7382" max="7385" width="8" style="1" customWidth="1"/>
    <col min="7386" max="7386" width="7.5" style="1" customWidth="1"/>
    <col min="7387" max="7388" width="8" style="1" customWidth="1"/>
    <col min="7389" max="7390" width="7.6640625" style="1" customWidth="1"/>
    <col min="7391" max="7391" width="9.6640625" style="1" customWidth="1"/>
    <col min="7392" max="7392" width="8.5" style="1" customWidth="1"/>
    <col min="7393" max="7393" width="7.6640625" style="1" customWidth="1"/>
    <col min="7394" max="7394" width="6.33203125" style="1" customWidth="1"/>
    <col min="7395" max="7395" width="8" style="1" customWidth="1"/>
    <col min="7396" max="7396" width="9.6640625" style="1" customWidth="1"/>
    <col min="7397" max="7397" width="8.5" style="1" customWidth="1"/>
    <col min="7398" max="7635" width="9" style="1"/>
    <col min="7636" max="7636" width="6.6640625" style="1" customWidth="1"/>
    <col min="7637" max="7637" width="6.33203125" style="1" customWidth="1"/>
    <col min="7638" max="7641" width="8" style="1" customWidth="1"/>
    <col min="7642" max="7642" width="7.5" style="1" customWidth="1"/>
    <col min="7643" max="7644" width="8" style="1" customWidth="1"/>
    <col min="7645" max="7646" width="7.6640625" style="1" customWidth="1"/>
    <col min="7647" max="7647" width="9.6640625" style="1" customWidth="1"/>
    <col min="7648" max="7648" width="8.5" style="1" customWidth="1"/>
    <col min="7649" max="7649" width="7.6640625" style="1" customWidth="1"/>
    <col min="7650" max="7650" width="6.33203125" style="1" customWidth="1"/>
    <col min="7651" max="7651" width="8" style="1" customWidth="1"/>
    <col min="7652" max="7652" width="9.6640625" style="1" customWidth="1"/>
    <col min="7653" max="7653" width="8.5" style="1" customWidth="1"/>
    <col min="7654" max="7891" width="9" style="1"/>
    <col min="7892" max="7892" width="6.6640625" style="1" customWidth="1"/>
    <col min="7893" max="7893" width="6.33203125" style="1" customWidth="1"/>
    <col min="7894" max="7897" width="8" style="1" customWidth="1"/>
    <col min="7898" max="7898" width="7.5" style="1" customWidth="1"/>
    <col min="7899" max="7900" width="8" style="1" customWidth="1"/>
    <col min="7901" max="7902" width="7.6640625" style="1" customWidth="1"/>
    <col min="7903" max="7903" width="9.6640625" style="1" customWidth="1"/>
    <col min="7904" max="7904" width="8.5" style="1" customWidth="1"/>
    <col min="7905" max="7905" width="7.6640625" style="1" customWidth="1"/>
    <col min="7906" max="7906" width="6.33203125" style="1" customWidth="1"/>
    <col min="7907" max="7907" width="8" style="1" customWidth="1"/>
    <col min="7908" max="7908" width="9.6640625" style="1" customWidth="1"/>
    <col min="7909" max="7909" width="8.5" style="1" customWidth="1"/>
    <col min="7910" max="8147" width="9" style="1"/>
    <col min="8148" max="8148" width="6.6640625" style="1" customWidth="1"/>
    <col min="8149" max="8149" width="6.33203125" style="1" customWidth="1"/>
    <col min="8150" max="8153" width="8" style="1" customWidth="1"/>
    <col min="8154" max="8154" width="7.5" style="1" customWidth="1"/>
    <col min="8155" max="8156" width="8" style="1" customWidth="1"/>
    <col min="8157" max="8158" width="7.6640625" style="1" customWidth="1"/>
    <col min="8159" max="8159" width="9.6640625" style="1" customWidth="1"/>
    <col min="8160" max="8160" width="8.5" style="1" customWidth="1"/>
    <col min="8161" max="8161" width="7.6640625" style="1" customWidth="1"/>
    <col min="8162" max="8162" width="6.33203125" style="1" customWidth="1"/>
    <col min="8163" max="8163" width="8" style="1" customWidth="1"/>
    <col min="8164" max="8164" width="9.6640625" style="1" customWidth="1"/>
    <col min="8165" max="8165" width="8.5" style="1" customWidth="1"/>
    <col min="8166" max="8403" width="9" style="1"/>
    <col min="8404" max="8404" width="6.6640625" style="1" customWidth="1"/>
    <col min="8405" max="8405" width="6.33203125" style="1" customWidth="1"/>
    <col min="8406" max="8409" width="8" style="1" customWidth="1"/>
    <col min="8410" max="8410" width="7.5" style="1" customWidth="1"/>
    <col min="8411" max="8412" width="8" style="1" customWidth="1"/>
    <col min="8413" max="8414" width="7.6640625" style="1" customWidth="1"/>
    <col min="8415" max="8415" width="9.6640625" style="1" customWidth="1"/>
    <col min="8416" max="8416" width="8.5" style="1" customWidth="1"/>
    <col min="8417" max="8417" width="7.6640625" style="1" customWidth="1"/>
    <col min="8418" max="8418" width="6.33203125" style="1" customWidth="1"/>
    <col min="8419" max="8419" width="8" style="1" customWidth="1"/>
    <col min="8420" max="8420" width="9.6640625" style="1" customWidth="1"/>
    <col min="8421" max="8421" width="8.5" style="1" customWidth="1"/>
    <col min="8422" max="8659" width="9" style="1"/>
    <col min="8660" max="8660" width="6.6640625" style="1" customWidth="1"/>
    <col min="8661" max="8661" width="6.33203125" style="1" customWidth="1"/>
    <col min="8662" max="8665" width="8" style="1" customWidth="1"/>
    <col min="8666" max="8666" width="7.5" style="1" customWidth="1"/>
    <col min="8667" max="8668" width="8" style="1" customWidth="1"/>
    <col min="8669" max="8670" width="7.6640625" style="1" customWidth="1"/>
    <col min="8671" max="8671" width="9.6640625" style="1" customWidth="1"/>
    <col min="8672" max="8672" width="8.5" style="1" customWidth="1"/>
    <col min="8673" max="8673" width="7.6640625" style="1" customWidth="1"/>
    <col min="8674" max="8674" width="6.33203125" style="1" customWidth="1"/>
    <col min="8675" max="8675" width="8" style="1" customWidth="1"/>
    <col min="8676" max="8676" width="9.6640625" style="1" customWidth="1"/>
    <col min="8677" max="8677" width="8.5" style="1" customWidth="1"/>
    <col min="8678" max="8915" width="9" style="1"/>
    <col min="8916" max="8916" width="6.6640625" style="1" customWidth="1"/>
    <col min="8917" max="8917" width="6.33203125" style="1" customWidth="1"/>
    <col min="8918" max="8921" width="8" style="1" customWidth="1"/>
    <col min="8922" max="8922" width="7.5" style="1" customWidth="1"/>
    <col min="8923" max="8924" width="8" style="1" customWidth="1"/>
    <col min="8925" max="8926" width="7.6640625" style="1" customWidth="1"/>
    <col min="8927" max="8927" width="9.6640625" style="1" customWidth="1"/>
    <col min="8928" max="8928" width="8.5" style="1" customWidth="1"/>
    <col min="8929" max="8929" width="7.6640625" style="1" customWidth="1"/>
    <col min="8930" max="8930" width="6.33203125" style="1" customWidth="1"/>
    <col min="8931" max="8931" width="8" style="1" customWidth="1"/>
    <col min="8932" max="8932" width="9.6640625" style="1" customWidth="1"/>
    <col min="8933" max="8933" width="8.5" style="1" customWidth="1"/>
    <col min="8934" max="9171" width="9" style="1"/>
    <col min="9172" max="9172" width="6.6640625" style="1" customWidth="1"/>
    <col min="9173" max="9173" width="6.33203125" style="1" customWidth="1"/>
    <col min="9174" max="9177" width="8" style="1" customWidth="1"/>
    <col min="9178" max="9178" width="7.5" style="1" customWidth="1"/>
    <col min="9179" max="9180" width="8" style="1" customWidth="1"/>
    <col min="9181" max="9182" width="7.6640625" style="1" customWidth="1"/>
    <col min="9183" max="9183" width="9.6640625" style="1" customWidth="1"/>
    <col min="9184" max="9184" width="8.5" style="1" customWidth="1"/>
    <col min="9185" max="9185" width="7.6640625" style="1" customWidth="1"/>
    <col min="9186" max="9186" width="6.33203125" style="1" customWidth="1"/>
    <col min="9187" max="9187" width="8" style="1" customWidth="1"/>
    <col min="9188" max="9188" width="9.6640625" style="1" customWidth="1"/>
    <col min="9189" max="9189" width="8.5" style="1" customWidth="1"/>
    <col min="9190" max="9427" width="9" style="1"/>
    <col min="9428" max="9428" width="6.6640625" style="1" customWidth="1"/>
    <col min="9429" max="9429" width="6.33203125" style="1" customWidth="1"/>
    <col min="9430" max="9433" width="8" style="1" customWidth="1"/>
    <col min="9434" max="9434" width="7.5" style="1" customWidth="1"/>
    <col min="9435" max="9436" width="8" style="1" customWidth="1"/>
    <col min="9437" max="9438" width="7.6640625" style="1" customWidth="1"/>
    <col min="9439" max="9439" width="9.6640625" style="1" customWidth="1"/>
    <col min="9440" max="9440" width="8.5" style="1" customWidth="1"/>
    <col min="9441" max="9441" width="7.6640625" style="1" customWidth="1"/>
    <col min="9442" max="9442" width="6.33203125" style="1" customWidth="1"/>
    <col min="9443" max="9443" width="8" style="1" customWidth="1"/>
    <col min="9444" max="9444" width="9.6640625" style="1" customWidth="1"/>
    <col min="9445" max="9445" width="8.5" style="1" customWidth="1"/>
    <col min="9446" max="9683" width="9" style="1"/>
    <col min="9684" max="9684" width="6.6640625" style="1" customWidth="1"/>
    <col min="9685" max="9685" width="6.33203125" style="1" customWidth="1"/>
    <col min="9686" max="9689" width="8" style="1" customWidth="1"/>
    <col min="9690" max="9690" width="7.5" style="1" customWidth="1"/>
    <col min="9691" max="9692" width="8" style="1" customWidth="1"/>
    <col min="9693" max="9694" width="7.6640625" style="1" customWidth="1"/>
    <col min="9695" max="9695" width="9.6640625" style="1" customWidth="1"/>
    <col min="9696" max="9696" width="8.5" style="1" customWidth="1"/>
    <col min="9697" max="9697" width="7.6640625" style="1" customWidth="1"/>
    <col min="9698" max="9698" width="6.33203125" style="1" customWidth="1"/>
    <col min="9699" max="9699" width="8" style="1" customWidth="1"/>
    <col min="9700" max="9700" width="9.6640625" style="1" customWidth="1"/>
    <col min="9701" max="9701" width="8.5" style="1" customWidth="1"/>
    <col min="9702" max="9939" width="9" style="1"/>
    <col min="9940" max="9940" width="6.6640625" style="1" customWidth="1"/>
    <col min="9941" max="9941" width="6.33203125" style="1" customWidth="1"/>
    <col min="9942" max="9945" width="8" style="1" customWidth="1"/>
    <col min="9946" max="9946" width="7.5" style="1" customWidth="1"/>
    <col min="9947" max="9948" width="8" style="1" customWidth="1"/>
    <col min="9949" max="9950" width="7.6640625" style="1" customWidth="1"/>
    <col min="9951" max="9951" width="9.6640625" style="1" customWidth="1"/>
    <col min="9952" max="9952" width="8.5" style="1" customWidth="1"/>
    <col min="9953" max="9953" width="7.6640625" style="1" customWidth="1"/>
    <col min="9954" max="9954" width="6.33203125" style="1" customWidth="1"/>
    <col min="9955" max="9955" width="8" style="1" customWidth="1"/>
    <col min="9956" max="9956" width="9.6640625" style="1" customWidth="1"/>
    <col min="9957" max="9957" width="8.5" style="1" customWidth="1"/>
    <col min="9958" max="10195" width="9" style="1"/>
    <col min="10196" max="10196" width="6.6640625" style="1" customWidth="1"/>
    <col min="10197" max="10197" width="6.33203125" style="1" customWidth="1"/>
    <col min="10198" max="10201" width="8" style="1" customWidth="1"/>
    <col min="10202" max="10202" width="7.5" style="1" customWidth="1"/>
    <col min="10203" max="10204" width="8" style="1" customWidth="1"/>
    <col min="10205" max="10206" width="7.6640625" style="1" customWidth="1"/>
    <col min="10207" max="10207" width="9.6640625" style="1" customWidth="1"/>
    <col min="10208" max="10208" width="8.5" style="1" customWidth="1"/>
    <col min="10209" max="10209" width="7.6640625" style="1" customWidth="1"/>
    <col min="10210" max="10210" width="6.33203125" style="1" customWidth="1"/>
    <col min="10211" max="10211" width="8" style="1" customWidth="1"/>
    <col min="10212" max="10212" width="9.6640625" style="1" customWidth="1"/>
    <col min="10213" max="10213" width="8.5" style="1" customWidth="1"/>
    <col min="10214" max="10451" width="9" style="1"/>
    <col min="10452" max="10452" width="6.6640625" style="1" customWidth="1"/>
    <col min="10453" max="10453" width="6.33203125" style="1" customWidth="1"/>
    <col min="10454" max="10457" width="8" style="1" customWidth="1"/>
    <col min="10458" max="10458" width="7.5" style="1" customWidth="1"/>
    <col min="10459" max="10460" width="8" style="1" customWidth="1"/>
    <col min="10461" max="10462" width="7.6640625" style="1" customWidth="1"/>
    <col min="10463" max="10463" width="9.6640625" style="1" customWidth="1"/>
    <col min="10464" max="10464" width="8.5" style="1" customWidth="1"/>
    <col min="10465" max="10465" width="7.6640625" style="1" customWidth="1"/>
    <col min="10466" max="10466" width="6.33203125" style="1" customWidth="1"/>
    <col min="10467" max="10467" width="8" style="1" customWidth="1"/>
    <col min="10468" max="10468" width="9.6640625" style="1" customWidth="1"/>
    <col min="10469" max="10469" width="8.5" style="1" customWidth="1"/>
    <col min="10470" max="10707" width="9" style="1"/>
    <col min="10708" max="10708" width="6.6640625" style="1" customWidth="1"/>
    <col min="10709" max="10709" width="6.33203125" style="1" customWidth="1"/>
    <col min="10710" max="10713" width="8" style="1" customWidth="1"/>
    <col min="10714" max="10714" width="7.5" style="1" customWidth="1"/>
    <col min="10715" max="10716" width="8" style="1" customWidth="1"/>
    <col min="10717" max="10718" width="7.6640625" style="1" customWidth="1"/>
    <col min="10719" max="10719" width="9.6640625" style="1" customWidth="1"/>
    <col min="10720" max="10720" width="8.5" style="1" customWidth="1"/>
    <col min="10721" max="10721" width="7.6640625" style="1" customWidth="1"/>
    <col min="10722" max="10722" width="6.33203125" style="1" customWidth="1"/>
    <col min="10723" max="10723" width="8" style="1" customWidth="1"/>
    <col min="10724" max="10724" width="9.6640625" style="1" customWidth="1"/>
    <col min="10725" max="10725" width="8.5" style="1" customWidth="1"/>
    <col min="10726" max="10963" width="9" style="1"/>
    <col min="10964" max="10964" width="6.6640625" style="1" customWidth="1"/>
    <col min="10965" max="10965" width="6.33203125" style="1" customWidth="1"/>
    <col min="10966" max="10969" width="8" style="1" customWidth="1"/>
    <col min="10970" max="10970" width="7.5" style="1" customWidth="1"/>
    <col min="10971" max="10972" width="8" style="1" customWidth="1"/>
    <col min="10973" max="10974" width="7.6640625" style="1" customWidth="1"/>
    <col min="10975" max="10975" width="9.6640625" style="1" customWidth="1"/>
    <col min="10976" max="10976" width="8.5" style="1" customWidth="1"/>
    <col min="10977" max="10977" width="7.6640625" style="1" customWidth="1"/>
    <col min="10978" max="10978" width="6.33203125" style="1" customWidth="1"/>
    <col min="10979" max="10979" width="8" style="1" customWidth="1"/>
    <col min="10980" max="10980" width="9.6640625" style="1" customWidth="1"/>
    <col min="10981" max="10981" width="8.5" style="1" customWidth="1"/>
    <col min="10982" max="11219" width="9" style="1"/>
    <col min="11220" max="11220" width="6.6640625" style="1" customWidth="1"/>
    <col min="11221" max="11221" width="6.33203125" style="1" customWidth="1"/>
    <col min="11222" max="11225" width="8" style="1" customWidth="1"/>
    <col min="11226" max="11226" width="7.5" style="1" customWidth="1"/>
    <col min="11227" max="11228" width="8" style="1" customWidth="1"/>
    <col min="11229" max="11230" width="7.6640625" style="1" customWidth="1"/>
    <col min="11231" max="11231" width="9.6640625" style="1" customWidth="1"/>
    <col min="11232" max="11232" width="8.5" style="1" customWidth="1"/>
    <col min="11233" max="11233" width="7.6640625" style="1" customWidth="1"/>
    <col min="11234" max="11234" width="6.33203125" style="1" customWidth="1"/>
    <col min="11235" max="11235" width="8" style="1" customWidth="1"/>
    <col min="11236" max="11236" width="9.6640625" style="1" customWidth="1"/>
    <col min="11237" max="11237" width="8.5" style="1" customWidth="1"/>
    <col min="11238" max="11475" width="9" style="1"/>
    <col min="11476" max="11476" width="6.6640625" style="1" customWidth="1"/>
    <col min="11477" max="11477" width="6.33203125" style="1" customWidth="1"/>
    <col min="11478" max="11481" width="8" style="1" customWidth="1"/>
    <col min="11482" max="11482" width="7.5" style="1" customWidth="1"/>
    <col min="11483" max="11484" width="8" style="1" customWidth="1"/>
    <col min="11485" max="11486" width="7.6640625" style="1" customWidth="1"/>
    <col min="11487" max="11487" width="9.6640625" style="1" customWidth="1"/>
    <col min="11488" max="11488" width="8.5" style="1" customWidth="1"/>
    <col min="11489" max="11489" width="7.6640625" style="1" customWidth="1"/>
    <col min="11490" max="11490" width="6.33203125" style="1" customWidth="1"/>
    <col min="11491" max="11491" width="8" style="1" customWidth="1"/>
    <col min="11492" max="11492" width="9.6640625" style="1" customWidth="1"/>
    <col min="11493" max="11493" width="8.5" style="1" customWidth="1"/>
    <col min="11494" max="11731" width="9" style="1"/>
    <col min="11732" max="11732" width="6.6640625" style="1" customWidth="1"/>
    <col min="11733" max="11733" width="6.33203125" style="1" customWidth="1"/>
    <col min="11734" max="11737" width="8" style="1" customWidth="1"/>
    <col min="11738" max="11738" width="7.5" style="1" customWidth="1"/>
    <col min="11739" max="11740" width="8" style="1" customWidth="1"/>
    <col min="11741" max="11742" width="7.6640625" style="1" customWidth="1"/>
    <col min="11743" max="11743" width="9.6640625" style="1" customWidth="1"/>
    <col min="11744" max="11744" width="8.5" style="1" customWidth="1"/>
    <col min="11745" max="11745" width="7.6640625" style="1" customWidth="1"/>
    <col min="11746" max="11746" width="6.33203125" style="1" customWidth="1"/>
    <col min="11747" max="11747" width="8" style="1" customWidth="1"/>
    <col min="11748" max="11748" width="9.6640625" style="1" customWidth="1"/>
    <col min="11749" max="11749" width="8.5" style="1" customWidth="1"/>
    <col min="11750" max="11987" width="9" style="1"/>
    <col min="11988" max="11988" width="6.6640625" style="1" customWidth="1"/>
    <col min="11989" max="11989" width="6.33203125" style="1" customWidth="1"/>
    <col min="11990" max="11993" width="8" style="1" customWidth="1"/>
    <col min="11994" max="11994" width="7.5" style="1" customWidth="1"/>
    <col min="11995" max="11996" width="8" style="1" customWidth="1"/>
    <col min="11997" max="11998" width="7.6640625" style="1" customWidth="1"/>
    <col min="11999" max="11999" width="9.6640625" style="1" customWidth="1"/>
    <col min="12000" max="12000" width="8.5" style="1" customWidth="1"/>
    <col min="12001" max="12001" width="7.6640625" style="1" customWidth="1"/>
    <col min="12002" max="12002" width="6.33203125" style="1" customWidth="1"/>
    <col min="12003" max="12003" width="8" style="1" customWidth="1"/>
    <col min="12004" max="12004" width="9.6640625" style="1" customWidth="1"/>
    <col min="12005" max="12005" width="8.5" style="1" customWidth="1"/>
    <col min="12006" max="12243" width="9" style="1"/>
    <col min="12244" max="12244" width="6.6640625" style="1" customWidth="1"/>
    <col min="12245" max="12245" width="6.33203125" style="1" customWidth="1"/>
    <col min="12246" max="12249" width="8" style="1" customWidth="1"/>
    <col min="12250" max="12250" width="7.5" style="1" customWidth="1"/>
    <col min="12251" max="12252" width="8" style="1" customWidth="1"/>
    <col min="12253" max="12254" width="7.6640625" style="1" customWidth="1"/>
    <col min="12255" max="12255" width="9.6640625" style="1" customWidth="1"/>
    <col min="12256" max="12256" width="8.5" style="1" customWidth="1"/>
    <col min="12257" max="12257" width="7.6640625" style="1" customWidth="1"/>
    <col min="12258" max="12258" width="6.33203125" style="1" customWidth="1"/>
    <col min="12259" max="12259" width="8" style="1" customWidth="1"/>
    <col min="12260" max="12260" width="9.6640625" style="1" customWidth="1"/>
    <col min="12261" max="12261" width="8.5" style="1" customWidth="1"/>
    <col min="12262" max="12499" width="9" style="1"/>
    <col min="12500" max="12500" width="6.6640625" style="1" customWidth="1"/>
    <col min="12501" max="12501" width="6.33203125" style="1" customWidth="1"/>
    <col min="12502" max="12505" width="8" style="1" customWidth="1"/>
    <col min="12506" max="12506" width="7.5" style="1" customWidth="1"/>
    <col min="12507" max="12508" width="8" style="1" customWidth="1"/>
    <col min="12509" max="12510" width="7.6640625" style="1" customWidth="1"/>
    <col min="12511" max="12511" width="9.6640625" style="1" customWidth="1"/>
    <col min="12512" max="12512" width="8.5" style="1" customWidth="1"/>
    <col min="12513" max="12513" width="7.6640625" style="1" customWidth="1"/>
    <col min="12514" max="12514" width="6.33203125" style="1" customWidth="1"/>
    <col min="12515" max="12515" width="8" style="1" customWidth="1"/>
    <col min="12516" max="12516" width="9.6640625" style="1" customWidth="1"/>
    <col min="12517" max="12517" width="8.5" style="1" customWidth="1"/>
    <col min="12518" max="12755" width="9" style="1"/>
    <col min="12756" max="12756" width="6.6640625" style="1" customWidth="1"/>
    <col min="12757" max="12757" width="6.33203125" style="1" customWidth="1"/>
    <col min="12758" max="12761" width="8" style="1" customWidth="1"/>
    <col min="12762" max="12762" width="7.5" style="1" customWidth="1"/>
    <col min="12763" max="12764" width="8" style="1" customWidth="1"/>
    <col min="12765" max="12766" width="7.6640625" style="1" customWidth="1"/>
    <col min="12767" max="12767" width="9.6640625" style="1" customWidth="1"/>
    <col min="12768" max="12768" width="8.5" style="1" customWidth="1"/>
    <col min="12769" max="12769" width="7.6640625" style="1" customWidth="1"/>
    <col min="12770" max="12770" width="6.33203125" style="1" customWidth="1"/>
    <col min="12771" max="12771" width="8" style="1" customWidth="1"/>
    <col min="12772" max="12772" width="9.6640625" style="1" customWidth="1"/>
    <col min="12773" max="12773" width="8.5" style="1" customWidth="1"/>
    <col min="12774" max="13011" width="9" style="1"/>
    <col min="13012" max="13012" width="6.6640625" style="1" customWidth="1"/>
    <col min="13013" max="13013" width="6.33203125" style="1" customWidth="1"/>
    <col min="13014" max="13017" width="8" style="1" customWidth="1"/>
    <col min="13018" max="13018" width="7.5" style="1" customWidth="1"/>
    <col min="13019" max="13020" width="8" style="1" customWidth="1"/>
    <col min="13021" max="13022" width="7.6640625" style="1" customWidth="1"/>
    <col min="13023" max="13023" width="9.6640625" style="1" customWidth="1"/>
    <col min="13024" max="13024" width="8.5" style="1" customWidth="1"/>
    <col min="13025" max="13025" width="7.6640625" style="1" customWidth="1"/>
    <col min="13026" max="13026" width="6.33203125" style="1" customWidth="1"/>
    <col min="13027" max="13027" width="8" style="1" customWidth="1"/>
    <col min="13028" max="13028" width="9.6640625" style="1" customWidth="1"/>
    <col min="13029" max="13029" width="8.5" style="1" customWidth="1"/>
    <col min="13030" max="13267" width="9" style="1"/>
    <col min="13268" max="13268" width="6.6640625" style="1" customWidth="1"/>
    <col min="13269" max="13269" width="6.33203125" style="1" customWidth="1"/>
    <col min="13270" max="13273" width="8" style="1" customWidth="1"/>
    <col min="13274" max="13274" width="7.5" style="1" customWidth="1"/>
    <col min="13275" max="13276" width="8" style="1" customWidth="1"/>
    <col min="13277" max="13278" width="7.6640625" style="1" customWidth="1"/>
    <col min="13279" max="13279" width="9.6640625" style="1" customWidth="1"/>
    <col min="13280" max="13280" width="8.5" style="1" customWidth="1"/>
    <col min="13281" max="13281" width="7.6640625" style="1" customWidth="1"/>
    <col min="13282" max="13282" width="6.33203125" style="1" customWidth="1"/>
    <col min="13283" max="13283" width="8" style="1" customWidth="1"/>
    <col min="13284" max="13284" width="9.6640625" style="1" customWidth="1"/>
    <col min="13285" max="13285" width="8.5" style="1" customWidth="1"/>
    <col min="13286" max="13523" width="9" style="1"/>
    <col min="13524" max="13524" width="6.6640625" style="1" customWidth="1"/>
    <col min="13525" max="13525" width="6.33203125" style="1" customWidth="1"/>
    <col min="13526" max="13529" width="8" style="1" customWidth="1"/>
    <col min="13530" max="13530" width="7.5" style="1" customWidth="1"/>
    <col min="13531" max="13532" width="8" style="1" customWidth="1"/>
    <col min="13533" max="13534" width="7.6640625" style="1" customWidth="1"/>
    <col min="13535" max="13535" width="9.6640625" style="1" customWidth="1"/>
    <col min="13536" max="13536" width="8.5" style="1" customWidth="1"/>
    <col min="13537" max="13537" width="7.6640625" style="1" customWidth="1"/>
    <col min="13538" max="13538" width="6.33203125" style="1" customWidth="1"/>
    <col min="13539" max="13539" width="8" style="1" customWidth="1"/>
    <col min="13540" max="13540" width="9.6640625" style="1" customWidth="1"/>
    <col min="13541" max="13541" width="8.5" style="1" customWidth="1"/>
    <col min="13542" max="13779" width="9" style="1"/>
    <col min="13780" max="13780" width="6.6640625" style="1" customWidth="1"/>
    <col min="13781" max="13781" width="6.33203125" style="1" customWidth="1"/>
    <col min="13782" max="13785" width="8" style="1" customWidth="1"/>
    <col min="13786" max="13786" width="7.5" style="1" customWidth="1"/>
    <col min="13787" max="13788" width="8" style="1" customWidth="1"/>
    <col min="13789" max="13790" width="7.6640625" style="1" customWidth="1"/>
    <col min="13791" max="13791" width="9.6640625" style="1" customWidth="1"/>
    <col min="13792" max="13792" width="8.5" style="1" customWidth="1"/>
    <col min="13793" max="13793" width="7.6640625" style="1" customWidth="1"/>
    <col min="13794" max="13794" width="6.33203125" style="1" customWidth="1"/>
    <col min="13795" max="13795" width="8" style="1" customWidth="1"/>
    <col min="13796" max="13796" width="9.6640625" style="1" customWidth="1"/>
    <col min="13797" max="13797" width="8.5" style="1" customWidth="1"/>
    <col min="13798" max="14035" width="9" style="1"/>
    <col min="14036" max="14036" width="6.6640625" style="1" customWidth="1"/>
    <col min="14037" max="14037" width="6.33203125" style="1" customWidth="1"/>
    <col min="14038" max="14041" width="8" style="1" customWidth="1"/>
    <col min="14042" max="14042" width="7.5" style="1" customWidth="1"/>
    <col min="14043" max="14044" width="8" style="1" customWidth="1"/>
    <col min="14045" max="14046" width="7.6640625" style="1" customWidth="1"/>
    <col min="14047" max="14047" width="9.6640625" style="1" customWidth="1"/>
    <col min="14048" max="14048" width="8.5" style="1" customWidth="1"/>
    <col min="14049" max="14049" width="7.6640625" style="1" customWidth="1"/>
    <col min="14050" max="14050" width="6.33203125" style="1" customWidth="1"/>
    <col min="14051" max="14051" width="8" style="1" customWidth="1"/>
    <col min="14052" max="14052" width="9.6640625" style="1" customWidth="1"/>
    <col min="14053" max="14053" width="8.5" style="1" customWidth="1"/>
    <col min="14054" max="14291" width="9" style="1"/>
    <col min="14292" max="14292" width="6.6640625" style="1" customWidth="1"/>
    <col min="14293" max="14293" width="6.33203125" style="1" customWidth="1"/>
    <col min="14294" max="14297" width="8" style="1" customWidth="1"/>
    <col min="14298" max="14298" width="7.5" style="1" customWidth="1"/>
    <col min="14299" max="14300" width="8" style="1" customWidth="1"/>
    <col min="14301" max="14302" width="7.6640625" style="1" customWidth="1"/>
    <col min="14303" max="14303" width="9.6640625" style="1" customWidth="1"/>
    <col min="14304" max="14304" width="8.5" style="1" customWidth="1"/>
    <col min="14305" max="14305" width="7.6640625" style="1" customWidth="1"/>
    <col min="14306" max="14306" width="6.33203125" style="1" customWidth="1"/>
    <col min="14307" max="14307" width="8" style="1" customWidth="1"/>
    <col min="14308" max="14308" width="9.6640625" style="1" customWidth="1"/>
    <col min="14309" max="14309" width="8.5" style="1" customWidth="1"/>
    <col min="14310" max="14547" width="9" style="1"/>
    <col min="14548" max="14548" width="6.6640625" style="1" customWidth="1"/>
    <col min="14549" max="14549" width="6.33203125" style="1" customWidth="1"/>
    <col min="14550" max="14553" width="8" style="1" customWidth="1"/>
    <col min="14554" max="14554" width="7.5" style="1" customWidth="1"/>
    <col min="14555" max="14556" width="8" style="1" customWidth="1"/>
    <col min="14557" max="14558" width="7.6640625" style="1" customWidth="1"/>
    <col min="14559" max="14559" width="9.6640625" style="1" customWidth="1"/>
    <col min="14560" max="14560" width="8.5" style="1" customWidth="1"/>
    <col min="14561" max="14561" width="7.6640625" style="1" customWidth="1"/>
    <col min="14562" max="14562" width="6.33203125" style="1" customWidth="1"/>
    <col min="14563" max="14563" width="8" style="1" customWidth="1"/>
    <col min="14564" max="14564" width="9.6640625" style="1" customWidth="1"/>
    <col min="14565" max="14565" width="8.5" style="1" customWidth="1"/>
    <col min="14566" max="14803" width="9" style="1"/>
    <col min="14804" max="14804" width="6.6640625" style="1" customWidth="1"/>
    <col min="14805" max="14805" width="6.33203125" style="1" customWidth="1"/>
    <col min="14806" max="14809" width="8" style="1" customWidth="1"/>
    <col min="14810" max="14810" width="7.5" style="1" customWidth="1"/>
    <col min="14811" max="14812" width="8" style="1" customWidth="1"/>
    <col min="14813" max="14814" width="7.6640625" style="1" customWidth="1"/>
    <col min="14815" max="14815" width="9.6640625" style="1" customWidth="1"/>
    <col min="14816" max="14816" width="8.5" style="1" customWidth="1"/>
    <col min="14817" max="14817" width="7.6640625" style="1" customWidth="1"/>
    <col min="14818" max="14818" width="6.33203125" style="1" customWidth="1"/>
    <col min="14819" max="14819" width="8" style="1" customWidth="1"/>
    <col min="14820" max="14820" width="9.6640625" style="1" customWidth="1"/>
    <col min="14821" max="14821" width="8.5" style="1" customWidth="1"/>
    <col min="14822" max="15059" width="9" style="1"/>
    <col min="15060" max="15060" width="6.6640625" style="1" customWidth="1"/>
    <col min="15061" max="15061" width="6.33203125" style="1" customWidth="1"/>
    <col min="15062" max="15065" width="8" style="1" customWidth="1"/>
    <col min="15066" max="15066" width="7.5" style="1" customWidth="1"/>
    <col min="15067" max="15068" width="8" style="1" customWidth="1"/>
    <col min="15069" max="15070" width="7.6640625" style="1" customWidth="1"/>
    <col min="15071" max="15071" width="9.6640625" style="1" customWidth="1"/>
    <col min="15072" max="15072" width="8.5" style="1" customWidth="1"/>
    <col min="15073" max="15073" width="7.6640625" style="1" customWidth="1"/>
    <col min="15074" max="15074" width="6.33203125" style="1" customWidth="1"/>
    <col min="15075" max="15075" width="8" style="1" customWidth="1"/>
    <col min="15076" max="15076" width="9.6640625" style="1" customWidth="1"/>
    <col min="15077" max="15077" width="8.5" style="1" customWidth="1"/>
    <col min="15078" max="15315" width="9" style="1"/>
    <col min="15316" max="15316" width="6.6640625" style="1" customWidth="1"/>
    <col min="15317" max="15317" width="6.33203125" style="1" customWidth="1"/>
    <col min="15318" max="15321" width="8" style="1" customWidth="1"/>
    <col min="15322" max="15322" width="7.5" style="1" customWidth="1"/>
    <col min="15323" max="15324" width="8" style="1" customWidth="1"/>
    <col min="15325" max="15326" width="7.6640625" style="1" customWidth="1"/>
    <col min="15327" max="15327" width="9.6640625" style="1" customWidth="1"/>
    <col min="15328" max="15328" width="8.5" style="1" customWidth="1"/>
    <col min="15329" max="15329" width="7.6640625" style="1" customWidth="1"/>
    <col min="15330" max="15330" width="6.33203125" style="1" customWidth="1"/>
    <col min="15331" max="15331" width="8" style="1" customWidth="1"/>
    <col min="15332" max="15332" width="9.6640625" style="1" customWidth="1"/>
    <col min="15333" max="15333" width="8.5" style="1" customWidth="1"/>
    <col min="15334" max="15571" width="9" style="1"/>
    <col min="15572" max="15572" width="6.6640625" style="1" customWidth="1"/>
    <col min="15573" max="15573" width="6.33203125" style="1" customWidth="1"/>
    <col min="15574" max="15577" width="8" style="1" customWidth="1"/>
    <col min="15578" max="15578" width="7.5" style="1" customWidth="1"/>
    <col min="15579" max="15580" width="8" style="1" customWidth="1"/>
    <col min="15581" max="15582" width="7.6640625" style="1" customWidth="1"/>
    <col min="15583" max="15583" width="9.6640625" style="1" customWidth="1"/>
    <col min="15584" max="15584" width="8.5" style="1" customWidth="1"/>
    <col min="15585" max="15585" width="7.6640625" style="1" customWidth="1"/>
    <col min="15586" max="15586" width="6.33203125" style="1" customWidth="1"/>
    <col min="15587" max="15587" width="8" style="1" customWidth="1"/>
    <col min="15588" max="15588" width="9.6640625" style="1" customWidth="1"/>
    <col min="15589" max="15589" width="8.5" style="1" customWidth="1"/>
    <col min="15590" max="15827" width="9" style="1"/>
    <col min="15828" max="15828" width="6.6640625" style="1" customWidth="1"/>
    <col min="15829" max="15829" width="6.33203125" style="1" customWidth="1"/>
    <col min="15830" max="15833" width="8" style="1" customWidth="1"/>
    <col min="15834" max="15834" width="7.5" style="1" customWidth="1"/>
    <col min="15835" max="15836" width="8" style="1" customWidth="1"/>
    <col min="15837" max="15838" width="7.6640625" style="1" customWidth="1"/>
    <col min="15839" max="15839" width="9.6640625" style="1" customWidth="1"/>
    <col min="15840" max="15840" width="8.5" style="1" customWidth="1"/>
    <col min="15841" max="15841" width="7.6640625" style="1" customWidth="1"/>
    <col min="15842" max="15842" width="6.33203125" style="1" customWidth="1"/>
    <col min="15843" max="15843" width="8" style="1" customWidth="1"/>
    <col min="15844" max="15844" width="9.6640625" style="1" customWidth="1"/>
    <col min="15845" max="15845" width="8.5" style="1" customWidth="1"/>
    <col min="15846" max="16083" width="9" style="1"/>
    <col min="16084" max="16084" width="6.6640625" style="1" customWidth="1"/>
    <col min="16085" max="16085" width="6.33203125" style="1" customWidth="1"/>
    <col min="16086" max="16089" width="8" style="1" customWidth="1"/>
    <col min="16090" max="16090" width="7.5" style="1" customWidth="1"/>
    <col min="16091" max="16092" width="8" style="1" customWidth="1"/>
    <col min="16093" max="16094" width="7.6640625" style="1" customWidth="1"/>
    <col min="16095" max="16095" width="9.6640625" style="1" customWidth="1"/>
    <col min="16096" max="16096" width="8.5" style="1" customWidth="1"/>
    <col min="16097" max="16097" width="7.6640625" style="1" customWidth="1"/>
    <col min="16098" max="16098" width="6.33203125" style="1" customWidth="1"/>
    <col min="16099" max="16099" width="8" style="1" customWidth="1"/>
    <col min="16100" max="16100" width="9.6640625" style="1" customWidth="1"/>
    <col min="16101" max="16101" width="8.5" style="1" customWidth="1"/>
    <col min="16102" max="16384" width="9" style="1"/>
  </cols>
  <sheetData>
    <row r="1" spans="1:18" ht="33" customHeight="1">
      <c r="A1" s="14" t="s">
        <v>40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</row>
    <row r="2" spans="1:18" ht="18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R2" s="3" t="s">
        <v>0</v>
      </c>
    </row>
    <row r="3" spans="1:18" s="7" customFormat="1" ht="32">
      <c r="A3" s="15" t="s">
        <v>1</v>
      </c>
      <c r="B3" s="18" t="s">
        <v>26</v>
      </c>
      <c r="C3" s="15" t="s">
        <v>27</v>
      </c>
      <c r="D3" s="16" t="s">
        <v>3</v>
      </c>
      <c r="E3" s="15" t="s">
        <v>4</v>
      </c>
      <c r="F3" s="15" t="s">
        <v>5</v>
      </c>
      <c r="G3" s="15" t="s">
        <v>20</v>
      </c>
      <c r="H3" s="15" t="s">
        <v>28</v>
      </c>
      <c r="I3" s="19" t="s">
        <v>29</v>
      </c>
      <c r="J3" s="15" t="s">
        <v>30</v>
      </c>
      <c r="K3" s="15" t="s">
        <v>8</v>
      </c>
      <c r="L3" s="15" t="s">
        <v>9</v>
      </c>
      <c r="M3" s="15" t="s">
        <v>10</v>
      </c>
      <c r="N3" s="15" t="s">
        <v>11</v>
      </c>
      <c r="O3" s="15" t="s">
        <v>12</v>
      </c>
      <c r="P3" s="15" t="s">
        <v>21</v>
      </c>
      <c r="Q3" s="15" t="s">
        <v>22</v>
      </c>
      <c r="R3" s="17" t="s">
        <v>15</v>
      </c>
    </row>
    <row r="4" spans="1:18" ht="20.25" customHeight="1">
      <c r="A4" s="9" t="s">
        <v>16</v>
      </c>
      <c r="B4" s="8">
        <v>28333</v>
      </c>
      <c r="C4" s="8"/>
      <c r="D4" s="8">
        <v>0</v>
      </c>
      <c r="E4" s="8">
        <v>3400</v>
      </c>
      <c r="F4" s="8">
        <v>600</v>
      </c>
      <c r="G4" s="8"/>
      <c r="H4" s="8">
        <f>SUM(B4:G4)</f>
        <v>32333</v>
      </c>
      <c r="I4" s="8">
        <v>1024.8</v>
      </c>
      <c r="J4" s="8">
        <f>SUM(B4:I4)-H4</f>
        <v>33357.800000000003</v>
      </c>
      <c r="K4" s="8">
        <v>-125.33</v>
      </c>
      <c r="L4" s="8">
        <v>-22</v>
      </c>
      <c r="M4" s="8">
        <v>-501.3</v>
      </c>
      <c r="N4" s="8">
        <v>-2005.2</v>
      </c>
      <c r="O4" s="8">
        <v>-3343</v>
      </c>
      <c r="P4" s="8">
        <v>0</v>
      </c>
      <c r="Q4" s="8">
        <v>-5465.24</v>
      </c>
      <c r="R4" s="10">
        <v>21895.730000000003</v>
      </c>
    </row>
    <row r="5" spans="1:18" ht="18" customHeight="1">
      <c r="A5" s="9" t="s">
        <v>16</v>
      </c>
      <c r="B5" s="8">
        <v>27083</v>
      </c>
      <c r="C5" s="8"/>
      <c r="D5" s="8">
        <v>0</v>
      </c>
      <c r="E5" s="8">
        <v>3200</v>
      </c>
      <c r="F5" s="8">
        <v>500</v>
      </c>
      <c r="G5" s="8"/>
      <c r="H5" s="8">
        <f t="shared" ref="H5:H17" si="0">SUM(B5:G5)</f>
        <v>30783</v>
      </c>
      <c r="I5" s="8">
        <v>1024.8</v>
      </c>
      <c r="J5" s="8">
        <f t="shared" ref="J5:J16" si="1">SUM(B5:I5)-H5</f>
        <v>31807.800000000003</v>
      </c>
      <c r="K5" s="8">
        <v>-125.33</v>
      </c>
      <c r="L5" s="8">
        <v>-22</v>
      </c>
      <c r="M5" s="8">
        <v>-501.3</v>
      </c>
      <c r="N5" s="8">
        <v>-2005.2</v>
      </c>
      <c r="O5" s="8">
        <v>-3343</v>
      </c>
      <c r="P5" s="8">
        <v>0</v>
      </c>
      <c r="Q5" s="8">
        <v>-5077.74</v>
      </c>
      <c r="R5" s="10">
        <v>20733.229999999996</v>
      </c>
    </row>
    <row r="6" spans="1:18" ht="18" customHeight="1">
      <c r="A6" s="9" t="s">
        <v>17</v>
      </c>
      <c r="B6" s="8">
        <v>0</v>
      </c>
      <c r="C6" s="8">
        <v>10821.5</v>
      </c>
      <c r="D6" s="8">
        <v>8657.2000000000007</v>
      </c>
      <c r="E6" s="8">
        <v>0</v>
      </c>
      <c r="F6" s="8">
        <v>0</v>
      </c>
      <c r="G6" s="8"/>
      <c r="H6" s="8">
        <f t="shared" si="0"/>
        <v>19478.7</v>
      </c>
      <c r="I6" s="8">
        <v>1024.8</v>
      </c>
      <c r="J6" s="8">
        <f t="shared" si="1"/>
        <v>20503.500000000004</v>
      </c>
      <c r="K6" s="8">
        <v>-108.3</v>
      </c>
      <c r="L6" s="8">
        <v>-22</v>
      </c>
      <c r="M6" s="8">
        <v>-433.2</v>
      </c>
      <c r="N6" s="8">
        <v>-1732.8</v>
      </c>
      <c r="O6" s="8">
        <v>-2599</v>
      </c>
      <c r="P6" s="8">
        <v>0</v>
      </c>
      <c r="Q6" s="8">
        <v>-910.82</v>
      </c>
      <c r="R6" s="10">
        <v>14697.380000000001</v>
      </c>
    </row>
    <row r="7" spans="1:18" ht="18" customHeight="1">
      <c r="A7" s="9" t="s">
        <v>17</v>
      </c>
      <c r="B7" s="8">
        <v>0</v>
      </c>
      <c r="C7" s="8">
        <v>11246</v>
      </c>
      <c r="D7" s="8">
        <v>8996.8000000000011</v>
      </c>
      <c r="E7" s="8">
        <v>0</v>
      </c>
      <c r="F7" s="8">
        <v>0</v>
      </c>
      <c r="G7" s="8"/>
      <c r="H7" s="8">
        <f t="shared" si="0"/>
        <v>20242.800000000003</v>
      </c>
      <c r="I7" s="8">
        <v>1024.8</v>
      </c>
      <c r="J7" s="8">
        <f t="shared" si="1"/>
        <v>21267.600000000006</v>
      </c>
      <c r="K7" s="8">
        <v>-112.55</v>
      </c>
      <c r="L7" s="8">
        <v>-22</v>
      </c>
      <c r="M7" s="8">
        <v>-450.18</v>
      </c>
      <c r="N7" s="8">
        <v>-1800.72</v>
      </c>
      <c r="O7" s="8">
        <v>-2701</v>
      </c>
      <c r="P7" s="8">
        <v>0</v>
      </c>
      <c r="Q7" s="8">
        <v>-818.12</v>
      </c>
      <c r="R7" s="10">
        <v>15363.03</v>
      </c>
    </row>
    <row r="8" spans="1:18" ht="18" customHeight="1">
      <c r="A8" s="9" t="s">
        <v>18</v>
      </c>
      <c r="B8" s="8">
        <v>0</v>
      </c>
      <c r="C8" s="8">
        <v>6250</v>
      </c>
      <c r="D8" s="8">
        <v>5500.0000000000009</v>
      </c>
      <c r="E8" s="8">
        <v>0</v>
      </c>
      <c r="F8" s="8">
        <v>0</v>
      </c>
      <c r="G8" s="8"/>
      <c r="H8" s="8">
        <f t="shared" si="0"/>
        <v>11750</v>
      </c>
      <c r="I8" s="8">
        <v>1024.8</v>
      </c>
      <c r="J8" s="8">
        <f t="shared" si="1"/>
        <v>12774.8</v>
      </c>
      <c r="K8" s="8">
        <v>-93.84</v>
      </c>
      <c r="L8" s="8">
        <v>-22</v>
      </c>
      <c r="M8" s="8">
        <v>-375.34</v>
      </c>
      <c r="N8" s="8">
        <v>-1501.36</v>
      </c>
      <c r="O8" s="8">
        <v>-3343</v>
      </c>
      <c r="P8" s="8">
        <v>0</v>
      </c>
      <c r="Q8" s="8">
        <v>0</v>
      </c>
      <c r="R8" s="10">
        <v>7439.2599999999984</v>
      </c>
    </row>
    <row r="9" spans="1:18" ht="18" customHeight="1">
      <c r="A9" s="9" t="s">
        <v>17</v>
      </c>
      <c r="B9" s="8">
        <v>0</v>
      </c>
      <c r="C9" s="8">
        <v>12500</v>
      </c>
      <c r="D9" s="8">
        <v>10000</v>
      </c>
      <c r="E9" s="8">
        <v>0</v>
      </c>
      <c r="F9" s="8">
        <v>0</v>
      </c>
      <c r="G9" s="8"/>
      <c r="H9" s="8">
        <f t="shared" si="0"/>
        <v>22500</v>
      </c>
      <c r="I9" s="8">
        <v>1024.8</v>
      </c>
      <c r="J9" s="8">
        <f t="shared" si="1"/>
        <v>23524.800000000003</v>
      </c>
      <c r="K9" s="8">
        <v>-125.33</v>
      </c>
      <c r="L9" s="8">
        <v>-22</v>
      </c>
      <c r="M9" s="8">
        <v>-501.3</v>
      </c>
      <c r="N9" s="8">
        <v>-2005.2</v>
      </c>
      <c r="O9" s="8">
        <v>-3012</v>
      </c>
      <c r="P9" s="8">
        <v>0</v>
      </c>
      <c r="Q9" s="8">
        <v>-985.89</v>
      </c>
      <c r="R9" s="10">
        <v>16873.079999999998</v>
      </c>
    </row>
    <row r="10" spans="1:18" ht="18" customHeight="1">
      <c r="A10" s="9" t="s">
        <v>17</v>
      </c>
      <c r="B10" s="8">
        <v>0</v>
      </c>
      <c r="C10" s="8">
        <v>9494</v>
      </c>
      <c r="D10" s="8">
        <v>7595.2000000000007</v>
      </c>
      <c r="E10" s="8">
        <v>0</v>
      </c>
      <c r="F10" s="8">
        <v>0</v>
      </c>
      <c r="G10" s="8"/>
      <c r="H10" s="8">
        <f t="shared" si="0"/>
        <v>17089.2</v>
      </c>
      <c r="I10" s="8">
        <v>1024.8</v>
      </c>
      <c r="J10" s="8">
        <f t="shared" si="1"/>
        <v>18114.000000000004</v>
      </c>
      <c r="K10" s="8">
        <v>-95.03</v>
      </c>
      <c r="L10" s="8">
        <v>-22</v>
      </c>
      <c r="M10" s="8">
        <v>-380.1</v>
      </c>
      <c r="N10" s="8">
        <v>-1520.4</v>
      </c>
      <c r="O10" s="8">
        <v>-2281</v>
      </c>
      <c r="P10" s="8">
        <v>0</v>
      </c>
      <c r="Q10" s="8">
        <v>-69.47</v>
      </c>
      <c r="R10" s="10">
        <v>13746.000000000004</v>
      </c>
    </row>
    <row r="11" spans="1:18" ht="18" customHeight="1">
      <c r="A11" s="9" t="s">
        <v>17</v>
      </c>
      <c r="B11" s="8">
        <v>0</v>
      </c>
      <c r="C11" s="8">
        <v>11870.5</v>
      </c>
      <c r="D11" s="8">
        <v>9496.4</v>
      </c>
      <c r="E11" s="8">
        <v>0</v>
      </c>
      <c r="F11" s="8">
        <v>0</v>
      </c>
      <c r="G11" s="8"/>
      <c r="H11" s="8">
        <f t="shared" si="0"/>
        <v>21366.9</v>
      </c>
      <c r="I11" s="8">
        <v>1024.8</v>
      </c>
      <c r="J11" s="8">
        <f t="shared" si="1"/>
        <v>22391.700000000004</v>
      </c>
      <c r="K11" s="8">
        <v>-118.79</v>
      </c>
      <c r="L11" s="8">
        <v>-22</v>
      </c>
      <c r="M11" s="8">
        <v>-475.16</v>
      </c>
      <c r="N11" s="8">
        <v>-1900.64</v>
      </c>
      <c r="O11" s="8">
        <v>-2851</v>
      </c>
      <c r="P11" s="8">
        <v>0</v>
      </c>
      <c r="Q11" s="8">
        <v>-802.41</v>
      </c>
      <c r="R11" s="10">
        <v>16221.7</v>
      </c>
    </row>
    <row r="12" spans="1:18" ht="18" customHeight="1">
      <c r="A12" s="9" t="s">
        <v>17</v>
      </c>
      <c r="B12" s="8">
        <v>0</v>
      </c>
      <c r="C12" s="8">
        <v>11500</v>
      </c>
      <c r="D12" s="8">
        <v>9200</v>
      </c>
      <c r="E12" s="8">
        <v>0</v>
      </c>
      <c r="F12" s="8">
        <v>0</v>
      </c>
      <c r="G12" s="8"/>
      <c r="H12" s="8">
        <f t="shared" si="0"/>
        <v>20700</v>
      </c>
      <c r="I12" s="8">
        <v>1024.8</v>
      </c>
      <c r="J12" s="8">
        <f t="shared" si="1"/>
        <v>21724.800000000003</v>
      </c>
      <c r="K12" s="8">
        <v>-115.97</v>
      </c>
      <c r="L12" s="8">
        <v>-22</v>
      </c>
      <c r="M12" s="8">
        <v>-463.86</v>
      </c>
      <c r="N12" s="8">
        <v>-1855.44</v>
      </c>
      <c r="O12" s="8">
        <v>-2783</v>
      </c>
      <c r="P12" s="8">
        <v>0</v>
      </c>
      <c r="Q12" s="8">
        <v>-698.46</v>
      </c>
      <c r="R12" s="10">
        <v>15786.07</v>
      </c>
    </row>
    <row r="13" spans="1:18" ht="18" customHeight="1">
      <c r="A13" s="9" t="s">
        <v>17</v>
      </c>
      <c r="B13" s="8">
        <v>0</v>
      </c>
      <c r="C13" s="8">
        <v>10600</v>
      </c>
      <c r="D13" s="8">
        <v>8480</v>
      </c>
      <c r="E13" s="8">
        <v>0</v>
      </c>
      <c r="F13" s="8">
        <v>0</v>
      </c>
      <c r="G13" s="8"/>
      <c r="H13" s="8">
        <f t="shared" si="0"/>
        <v>19080</v>
      </c>
      <c r="I13" s="8">
        <v>1024.8</v>
      </c>
      <c r="J13" s="8">
        <f t="shared" si="1"/>
        <v>20104.800000000003</v>
      </c>
      <c r="K13" s="8">
        <v>-125.33</v>
      </c>
      <c r="L13" s="8">
        <v>-22</v>
      </c>
      <c r="M13" s="8">
        <v>-501.3</v>
      </c>
      <c r="N13" s="8">
        <v>-2005.2</v>
      </c>
      <c r="O13" s="8">
        <v>-3343</v>
      </c>
      <c r="P13" s="8">
        <v>0</v>
      </c>
      <c r="Q13" s="8">
        <v>-810.8</v>
      </c>
      <c r="R13" s="10">
        <v>13297.169999999998</v>
      </c>
    </row>
    <row r="14" spans="1:18" ht="18" customHeight="1">
      <c r="A14" s="9" t="s">
        <v>19</v>
      </c>
      <c r="B14" s="8">
        <v>0</v>
      </c>
      <c r="C14" s="8">
        <v>4250</v>
      </c>
      <c r="D14" s="8">
        <v>4080</v>
      </c>
      <c r="E14" s="8">
        <v>0</v>
      </c>
      <c r="F14" s="8">
        <v>0</v>
      </c>
      <c r="G14" s="8"/>
      <c r="H14" s="8">
        <f t="shared" si="0"/>
        <v>8330</v>
      </c>
      <c r="I14" s="8">
        <v>1024.8</v>
      </c>
      <c r="J14" s="8">
        <f t="shared" si="1"/>
        <v>9354.7999999999993</v>
      </c>
      <c r="K14" s="8">
        <v>-42.5</v>
      </c>
      <c r="L14" s="8">
        <v>-22</v>
      </c>
      <c r="M14" s="8">
        <v>-170</v>
      </c>
      <c r="N14" s="8">
        <v>-680</v>
      </c>
      <c r="O14" s="8">
        <v>-1020</v>
      </c>
      <c r="P14" s="8">
        <v>0</v>
      </c>
      <c r="Q14" s="8">
        <v>-72.61</v>
      </c>
      <c r="R14" s="10">
        <v>7347.69</v>
      </c>
    </row>
    <row r="15" spans="1:18" ht="18" customHeight="1">
      <c r="A15" s="9" t="s">
        <v>17</v>
      </c>
      <c r="B15" s="8">
        <v>0</v>
      </c>
      <c r="C15" s="8">
        <v>12500</v>
      </c>
      <c r="D15" s="8">
        <v>10000</v>
      </c>
      <c r="E15" s="8">
        <v>0</v>
      </c>
      <c r="F15" s="8">
        <v>0</v>
      </c>
      <c r="G15" s="8"/>
      <c r="H15" s="8">
        <f t="shared" si="0"/>
        <v>22500</v>
      </c>
      <c r="I15" s="8">
        <v>1024.8</v>
      </c>
      <c r="J15" s="8">
        <f t="shared" si="1"/>
        <v>23524.800000000003</v>
      </c>
      <c r="K15" s="8">
        <v>-125</v>
      </c>
      <c r="L15" s="8">
        <v>-22</v>
      </c>
      <c r="M15" s="8">
        <v>-500</v>
      </c>
      <c r="N15" s="8">
        <v>-2000</v>
      </c>
      <c r="O15" s="8">
        <v>-3000</v>
      </c>
      <c r="P15" s="8">
        <v>0</v>
      </c>
      <c r="Q15" s="8">
        <v>-1287.78</v>
      </c>
      <c r="R15" s="10">
        <v>16590.02</v>
      </c>
    </row>
    <row r="16" spans="1:18" ht="18" customHeight="1">
      <c r="A16" s="9" t="s">
        <v>17</v>
      </c>
      <c r="B16" s="8">
        <v>0</v>
      </c>
      <c r="C16" s="8">
        <v>3913</v>
      </c>
      <c r="D16" s="8">
        <v>0</v>
      </c>
      <c r="E16" s="8">
        <v>0</v>
      </c>
      <c r="F16" s="8">
        <v>0</v>
      </c>
      <c r="G16" s="8"/>
      <c r="H16" s="8">
        <f t="shared" si="0"/>
        <v>3913</v>
      </c>
      <c r="I16" s="8">
        <v>0</v>
      </c>
      <c r="J16" s="8">
        <f t="shared" si="1"/>
        <v>3913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10">
        <v>3913</v>
      </c>
    </row>
    <row r="17" spans="1:18" ht="18" customHeight="1">
      <c r="A17" s="9" t="s">
        <v>17</v>
      </c>
      <c r="B17" s="8">
        <v>0</v>
      </c>
      <c r="C17" s="8">
        <v>7500</v>
      </c>
      <c r="D17" s="8">
        <v>6000</v>
      </c>
      <c r="E17" s="8">
        <v>0</v>
      </c>
      <c r="F17" s="8">
        <v>0</v>
      </c>
      <c r="G17" s="8">
        <v>-357</v>
      </c>
      <c r="H17" s="8">
        <f t="shared" si="0"/>
        <v>13143</v>
      </c>
      <c r="I17" s="8">
        <v>768.6</v>
      </c>
      <c r="J17" s="8">
        <f>SUM(B17:I17)-H17</f>
        <v>13911.599999999999</v>
      </c>
      <c r="K17" s="8">
        <v>-75</v>
      </c>
      <c r="L17" s="8">
        <v>-22</v>
      </c>
      <c r="M17" s="8">
        <v>-300</v>
      </c>
      <c r="N17" s="8">
        <v>-1200</v>
      </c>
      <c r="O17" s="8">
        <v>-1800</v>
      </c>
      <c r="P17" s="8">
        <v>0</v>
      </c>
      <c r="Q17" s="8">
        <v>-165.44</v>
      </c>
      <c r="R17" s="10">
        <v>10349.16</v>
      </c>
    </row>
    <row r="18" spans="1:18" ht="17.25" customHeight="1">
      <c r="A18" s="13" t="s">
        <v>23</v>
      </c>
      <c r="B18" s="11">
        <v>55416</v>
      </c>
      <c r="C18" s="11">
        <v>112445</v>
      </c>
      <c r="D18" s="11">
        <v>88005.6</v>
      </c>
      <c r="E18" s="11">
        <v>6600</v>
      </c>
      <c r="F18" s="11">
        <v>1100</v>
      </c>
      <c r="G18" s="11">
        <v>-357</v>
      </c>
      <c r="H18" s="11">
        <f>SUM(H4:H17)</f>
        <v>263209.59999999998</v>
      </c>
      <c r="I18" s="11">
        <v>13066.199999999997</v>
      </c>
      <c r="J18" s="11">
        <f>SUM(J4:J17)</f>
        <v>276275.8</v>
      </c>
      <c r="K18" s="11">
        <v>-1388.3</v>
      </c>
      <c r="L18" s="11">
        <v>-286</v>
      </c>
      <c r="M18" s="11">
        <v>-5553.04</v>
      </c>
      <c r="N18" s="11">
        <v>-22212.16</v>
      </c>
      <c r="O18" s="11">
        <v>-35419</v>
      </c>
      <c r="P18" s="11">
        <v>0</v>
      </c>
      <c r="Q18" s="11">
        <v>-17164.779999999995</v>
      </c>
      <c r="R18" s="11">
        <v>194252.51999999996</v>
      </c>
    </row>
    <row r="20" spans="1:18" ht="16">
      <c r="G20" s="20"/>
      <c r="H20" s="20"/>
      <c r="I20" s="20"/>
      <c r="J20" s="20"/>
      <c r="K20" s="20"/>
      <c r="Q20" s="12"/>
      <c r="R20" s="1"/>
    </row>
    <row r="21" spans="1:18">
      <c r="Q21" s="12"/>
      <c r="R21" s="1"/>
    </row>
    <row r="22" spans="1:18">
      <c r="Q22" s="12"/>
      <c r="R22" s="1"/>
    </row>
    <row r="23" spans="1:18">
      <c r="Q23" s="12"/>
      <c r="R23" s="1"/>
    </row>
  </sheetData>
  <mergeCells count="1">
    <mergeCell ref="G20:K20"/>
  </mergeCells>
  <phoneticPr fontId="4" type="noConversion"/>
  <pageMargins left="0.31496062992126" right="0.196850393700787" top="0.74803149606299202" bottom="0.74803149606299202" header="0.31496062992126" footer="0.31496062992126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67AF0-782D-4DC2-90D5-E4E0AE1A1539}">
  <sheetPr>
    <tabColor rgb="FFFFC000"/>
  </sheetPr>
  <dimension ref="A1:O22"/>
  <sheetViews>
    <sheetView tabSelected="1" workbookViewId="0">
      <selection activeCell="M11" sqref="M11"/>
    </sheetView>
  </sheetViews>
  <sheetFormatPr baseColWidth="10" defaultColWidth="9" defaultRowHeight="15"/>
  <cols>
    <col min="1" max="1" width="13.6640625" style="1" customWidth="1"/>
    <col min="2" max="2" width="10.5" style="1" bestFit="1" customWidth="1"/>
    <col min="3" max="3" width="10.5" style="1" customWidth="1"/>
    <col min="4" max="4" width="8.6640625" style="1" customWidth="1"/>
    <col min="5" max="5" width="8.83203125" style="1" customWidth="1"/>
    <col min="6" max="7" width="9.83203125" style="1" customWidth="1"/>
    <col min="8" max="8" width="9.5" style="1" customWidth="1"/>
    <col min="9" max="9" width="8.5" style="1" bestFit="1" customWidth="1"/>
    <col min="10" max="10" width="9.1640625" style="1" customWidth="1"/>
    <col min="11" max="11" width="11.6640625" style="1" customWidth="1"/>
    <col min="12" max="13" width="10.5" style="1" bestFit="1" customWidth="1"/>
    <col min="14" max="14" width="12" style="1" customWidth="1"/>
    <col min="15" max="15" width="16.1640625" style="12" customWidth="1"/>
    <col min="16" max="207" width="9" style="1"/>
    <col min="208" max="208" width="6.6640625" style="1" customWidth="1"/>
    <col min="209" max="209" width="6.33203125" style="1" customWidth="1"/>
    <col min="210" max="213" width="8" style="1" customWidth="1"/>
    <col min="214" max="214" width="7.5" style="1" customWidth="1"/>
    <col min="215" max="216" width="8" style="1" customWidth="1"/>
    <col min="217" max="218" width="7.6640625" style="1" customWidth="1"/>
    <col min="219" max="219" width="9.6640625" style="1" customWidth="1"/>
    <col min="220" max="220" width="8.5" style="1" customWidth="1"/>
    <col min="221" max="221" width="7.6640625" style="1" customWidth="1"/>
    <col min="222" max="222" width="6.33203125" style="1" customWidth="1"/>
    <col min="223" max="223" width="8" style="1" customWidth="1"/>
    <col min="224" max="224" width="9.6640625" style="1" customWidth="1"/>
    <col min="225" max="225" width="8.5" style="1" customWidth="1"/>
    <col min="226" max="463" width="9" style="1"/>
    <col min="464" max="464" width="6.6640625" style="1" customWidth="1"/>
    <col min="465" max="465" width="6.33203125" style="1" customWidth="1"/>
    <col min="466" max="469" width="8" style="1" customWidth="1"/>
    <col min="470" max="470" width="7.5" style="1" customWidth="1"/>
    <col min="471" max="472" width="8" style="1" customWidth="1"/>
    <col min="473" max="474" width="7.6640625" style="1" customWidth="1"/>
    <col min="475" max="475" width="9.6640625" style="1" customWidth="1"/>
    <col min="476" max="476" width="8.5" style="1" customWidth="1"/>
    <col min="477" max="477" width="7.6640625" style="1" customWidth="1"/>
    <col min="478" max="478" width="6.33203125" style="1" customWidth="1"/>
    <col min="479" max="479" width="8" style="1" customWidth="1"/>
    <col min="480" max="480" width="9.6640625" style="1" customWidth="1"/>
    <col min="481" max="481" width="8.5" style="1" customWidth="1"/>
    <col min="482" max="719" width="9" style="1"/>
    <col min="720" max="720" width="6.6640625" style="1" customWidth="1"/>
    <col min="721" max="721" width="6.33203125" style="1" customWidth="1"/>
    <col min="722" max="725" width="8" style="1" customWidth="1"/>
    <col min="726" max="726" width="7.5" style="1" customWidth="1"/>
    <col min="727" max="728" width="8" style="1" customWidth="1"/>
    <col min="729" max="730" width="7.6640625" style="1" customWidth="1"/>
    <col min="731" max="731" width="9.6640625" style="1" customWidth="1"/>
    <col min="732" max="732" width="8.5" style="1" customWidth="1"/>
    <col min="733" max="733" width="7.6640625" style="1" customWidth="1"/>
    <col min="734" max="734" width="6.33203125" style="1" customWidth="1"/>
    <col min="735" max="735" width="8" style="1" customWidth="1"/>
    <col min="736" max="736" width="9.6640625" style="1" customWidth="1"/>
    <col min="737" max="737" width="8.5" style="1" customWidth="1"/>
    <col min="738" max="975" width="9" style="1"/>
    <col min="976" max="976" width="6.6640625" style="1" customWidth="1"/>
    <col min="977" max="977" width="6.33203125" style="1" customWidth="1"/>
    <col min="978" max="981" width="8" style="1" customWidth="1"/>
    <col min="982" max="982" width="7.5" style="1" customWidth="1"/>
    <col min="983" max="984" width="8" style="1" customWidth="1"/>
    <col min="985" max="986" width="7.6640625" style="1" customWidth="1"/>
    <col min="987" max="987" width="9.6640625" style="1" customWidth="1"/>
    <col min="988" max="988" width="8.5" style="1" customWidth="1"/>
    <col min="989" max="989" width="7.6640625" style="1" customWidth="1"/>
    <col min="990" max="990" width="6.33203125" style="1" customWidth="1"/>
    <col min="991" max="991" width="8" style="1" customWidth="1"/>
    <col min="992" max="992" width="9.6640625" style="1" customWidth="1"/>
    <col min="993" max="993" width="8.5" style="1" customWidth="1"/>
    <col min="994" max="1231" width="9" style="1"/>
    <col min="1232" max="1232" width="6.6640625" style="1" customWidth="1"/>
    <col min="1233" max="1233" width="6.33203125" style="1" customWidth="1"/>
    <col min="1234" max="1237" width="8" style="1" customWidth="1"/>
    <col min="1238" max="1238" width="7.5" style="1" customWidth="1"/>
    <col min="1239" max="1240" width="8" style="1" customWidth="1"/>
    <col min="1241" max="1242" width="7.6640625" style="1" customWidth="1"/>
    <col min="1243" max="1243" width="9.6640625" style="1" customWidth="1"/>
    <col min="1244" max="1244" width="8.5" style="1" customWidth="1"/>
    <col min="1245" max="1245" width="7.6640625" style="1" customWidth="1"/>
    <col min="1246" max="1246" width="6.33203125" style="1" customWidth="1"/>
    <col min="1247" max="1247" width="8" style="1" customWidth="1"/>
    <col min="1248" max="1248" width="9.6640625" style="1" customWidth="1"/>
    <col min="1249" max="1249" width="8.5" style="1" customWidth="1"/>
    <col min="1250" max="1487" width="9" style="1"/>
    <col min="1488" max="1488" width="6.6640625" style="1" customWidth="1"/>
    <col min="1489" max="1489" width="6.33203125" style="1" customWidth="1"/>
    <col min="1490" max="1493" width="8" style="1" customWidth="1"/>
    <col min="1494" max="1494" width="7.5" style="1" customWidth="1"/>
    <col min="1495" max="1496" width="8" style="1" customWidth="1"/>
    <col min="1497" max="1498" width="7.6640625" style="1" customWidth="1"/>
    <col min="1499" max="1499" width="9.6640625" style="1" customWidth="1"/>
    <col min="1500" max="1500" width="8.5" style="1" customWidth="1"/>
    <col min="1501" max="1501" width="7.6640625" style="1" customWidth="1"/>
    <col min="1502" max="1502" width="6.33203125" style="1" customWidth="1"/>
    <col min="1503" max="1503" width="8" style="1" customWidth="1"/>
    <col min="1504" max="1504" width="9.6640625" style="1" customWidth="1"/>
    <col min="1505" max="1505" width="8.5" style="1" customWidth="1"/>
    <col min="1506" max="1743" width="9" style="1"/>
    <col min="1744" max="1744" width="6.6640625" style="1" customWidth="1"/>
    <col min="1745" max="1745" width="6.33203125" style="1" customWidth="1"/>
    <col min="1746" max="1749" width="8" style="1" customWidth="1"/>
    <col min="1750" max="1750" width="7.5" style="1" customWidth="1"/>
    <col min="1751" max="1752" width="8" style="1" customWidth="1"/>
    <col min="1753" max="1754" width="7.6640625" style="1" customWidth="1"/>
    <col min="1755" max="1755" width="9.6640625" style="1" customWidth="1"/>
    <col min="1756" max="1756" width="8.5" style="1" customWidth="1"/>
    <col min="1757" max="1757" width="7.6640625" style="1" customWidth="1"/>
    <col min="1758" max="1758" width="6.33203125" style="1" customWidth="1"/>
    <col min="1759" max="1759" width="8" style="1" customWidth="1"/>
    <col min="1760" max="1760" width="9.6640625" style="1" customWidth="1"/>
    <col min="1761" max="1761" width="8.5" style="1" customWidth="1"/>
    <col min="1762" max="1999" width="9" style="1"/>
    <col min="2000" max="2000" width="6.6640625" style="1" customWidth="1"/>
    <col min="2001" max="2001" width="6.33203125" style="1" customWidth="1"/>
    <col min="2002" max="2005" width="8" style="1" customWidth="1"/>
    <col min="2006" max="2006" width="7.5" style="1" customWidth="1"/>
    <col min="2007" max="2008" width="8" style="1" customWidth="1"/>
    <col min="2009" max="2010" width="7.6640625" style="1" customWidth="1"/>
    <col min="2011" max="2011" width="9.6640625" style="1" customWidth="1"/>
    <col min="2012" max="2012" width="8.5" style="1" customWidth="1"/>
    <col min="2013" max="2013" width="7.6640625" style="1" customWidth="1"/>
    <col min="2014" max="2014" width="6.33203125" style="1" customWidth="1"/>
    <col min="2015" max="2015" width="8" style="1" customWidth="1"/>
    <col min="2016" max="2016" width="9.6640625" style="1" customWidth="1"/>
    <col min="2017" max="2017" width="8.5" style="1" customWidth="1"/>
    <col min="2018" max="2255" width="9" style="1"/>
    <col min="2256" max="2256" width="6.6640625" style="1" customWidth="1"/>
    <col min="2257" max="2257" width="6.33203125" style="1" customWidth="1"/>
    <col min="2258" max="2261" width="8" style="1" customWidth="1"/>
    <col min="2262" max="2262" width="7.5" style="1" customWidth="1"/>
    <col min="2263" max="2264" width="8" style="1" customWidth="1"/>
    <col min="2265" max="2266" width="7.6640625" style="1" customWidth="1"/>
    <col min="2267" max="2267" width="9.6640625" style="1" customWidth="1"/>
    <col min="2268" max="2268" width="8.5" style="1" customWidth="1"/>
    <col min="2269" max="2269" width="7.6640625" style="1" customWidth="1"/>
    <col min="2270" max="2270" width="6.33203125" style="1" customWidth="1"/>
    <col min="2271" max="2271" width="8" style="1" customWidth="1"/>
    <col min="2272" max="2272" width="9.6640625" style="1" customWidth="1"/>
    <col min="2273" max="2273" width="8.5" style="1" customWidth="1"/>
    <col min="2274" max="2511" width="9" style="1"/>
    <col min="2512" max="2512" width="6.6640625" style="1" customWidth="1"/>
    <col min="2513" max="2513" width="6.33203125" style="1" customWidth="1"/>
    <col min="2514" max="2517" width="8" style="1" customWidth="1"/>
    <col min="2518" max="2518" width="7.5" style="1" customWidth="1"/>
    <col min="2519" max="2520" width="8" style="1" customWidth="1"/>
    <col min="2521" max="2522" width="7.6640625" style="1" customWidth="1"/>
    <col min="2523" max="2523" width="9.6640625" style="1" customWidth="1"/>
    <col min="2524" max="2524" width="8.5" style="1" customWidth="1"/>
    <col min="2525" max="2525" width="7.6640625" style="1" customWidth="1"/>
    <col min="2526" max="2526" width="6.33203125" style="1" customWidth="1"/>
    <col min="2527" max="2527" width="8" style="1" customWidth="1"/>
    <col min="2528" max="2528" width="9.6640625" style="1" customWidth="1"/>
    <col min="2529" max="2529" width="8.5" style="1" customWidth="1"/>
    <col min="2530" max="2767" width="9" style="1"/>
    <col min="2768" max="2768" width="6.6640625" style="1" customWidth="1"/>
    <col min="2769" max="2769" width="6.33203125" style="1" customWidth="1"/>
    <col min="2770" max="2773" width="8" style="1" customWidth="1"/>
    <col min="2774" max="2774" width="7.5" style="1" customWidth="1"/>
    <col min="2775" max="2776" width="8" style="1" customWidth="1"/>
    <col min="2777" max="2778" width="7.6640625" style="1" customWidth="1"/>
    <col min="2779" max="2779" width="9.6640625" style="1" customWidth="1"/>
    <col min="2780" max="2780" width="8.5" style="1" customWidth="1"/>
    <col min="2781" max="2781" width="7.6640625" style="1" customWidth="1"/>
    <col min="2782" max="2782" width="6.33203125" style="1" customWidth="1"/>
    <col min="2783" max="2783" width="8" style="1" customWidth="1"/>
    <col min="2784" max="2784" width="9.6640625" style="1" customWidth="1"/>
    <col min="2785" max="2785" width="8.5" style="1" customWidth="1"/>
    <col min="2786" max="3023" width="9" style="1"/>
    <col min="3024" max="3024" width="6.6640625" style="1" customWidth="1"/>
    <col min="3025" max="3025" width="6.33203125" style="1" customWidth="1"/>
    <col min="3026" max="3029" width="8" style="1" customWidth="1"/>
    <col min="3030" max="3030" width="7.5" style="1" customWidth="1"/>
    <col min="3031" max="3032" width="8" style="1" customWidth="1"/>
    <col min="3033" max="3034" width="7.6640625" style="1" customWidth="1"/>
    <col min="3035" max="3035" width="9.6640625" style="1" customWidth="1"/>
    <col min="3036" max="3036" width="8.5" style="1" customWidth="1"/>
    <col min="3037" max="3037" width="7.6640625" style="1" customWidth="1"/>
    <col min="3038" max="3038" width="6.33203125" style="1" customWidth="1"/>
    <col min="3039" max="3039" width="8" style="1" customWidth="1"/>
    <col min="3040" max="3040" width="9.6640625" style="1" customWidth="1"/>
    <col min="3041" max="3041" width="8.5" style="1" customWidth="1"/>
    <col min="3042" max="3279" width="9" style="1"/>
    <col min="3280" max="3280" width="6.6640625" style="1" customWidth="1"/>
    <col min="3281" max="3281" width="6.33203125" style="1" customWidth="1"/>
    <col min="3282" max="3285" width="8" style="1" customWidth="1"/>
    <col min="3286" max="3286" width="7.5" style="1" customWidth="1"/>
    <col min="3287" max="3288" width="8" style="1" customWidth="1"/>
    <col min="3289" max="3290" width="7.6640625" style="1" customWidth="1"/>
    <col min="3291" max="3291" width="9.6640625" style="1" customWidth="1"/>
    <col min="3292" max="3292" width="8.5" style="1" customWidth="1"/>
    <col min="3293" max="3293" width="7.6640625" style="1" customWidth="1"/>
    <col min="3294" max="3294" width="6.33203125" style="1" customWidth="1"/>
    <col min="3295" max="3295" width="8" style="1" customWidth="1"/>
    <col min="3296" max="3296" width="9.6640625" style="1" customWidth="1"/>
    <col min="3297" max="3297" width="8.5" style="1" customWidth="1"/>
    <col min="3298" max="3535" width="9" style="1"/>
    <col min="3536" max="3536" width="6.6640625" style="1" customWidth="1"/>
    <col min="3537" max="3537" width="6.33203125" style="1" customWidth="1"/>
    <col min="3538" max="3541" width="8" style="1" customWidth="1"/>
    <col min="3542" max="3542" width="7.5" style="1" customWidth="1"/>
    <col min="3543" max="3544" width="8" style="1" customWidth="1"/>
    <col min="3545" max="3546" width="7.6640625" style="1" customWidth="1"/>
    <col min="3547" max="3547" width="9.6640625" style="1" customWidth="1"/>
    <col min="3548" max="3548" width="8.5" style="1" customWidth="1"/>
    <col min="3549" max="3549" width="7.6640625" style="1" customWidth="1"/>
    <col min="3550" max="3550" width="6.33203125" style="1" customWidth="1"/>
    <col min="3551" max="3551" width="8" style="1" customWidth="1"/>
    <col min="3552" max="3552" width="9.6640625" style="1" customWidth="1"/>
    <col min="3553" max="3553" width="8.5" style="1" customWidth="1"/>
    <col min="3554" max="3791" width="9" style="1"/>
    <col min="3792" max="3792" width="6.6640625" style="1" customWidth="1"/>
    <col min="3793" max="3793" width="6.33203125" style="1" customWidth="1"/>
    <col min="3794" max="3797" width="8" style="1" customWidth="1"/>
    <col min="3798" max="3798" width="7.5" style="1" customWidth="1"/>
    <col min="3799" max="3800" width="8" style="1" customWidth="1"/>
    <col min="3801" max="3802" width="7.6640625" style="1" customWidth="1"/>
    <col min="3803" max="3803" width="9.6640625" style="1" customWidth="1"/>
    <col min="3804" max="3804" width="8.5" style="1" customWidth="1"/>
    <col min="3805" max="3805" width="7.6640625" style="1" customWidth="1"/>
    <col min="3806" max="3806" width="6.33203125" style="1" customWidth="1"/>
    <col min="3807" max="3807" width="8" style="1" customWidth="1"/>
    <col min="3808" max="3808" width="9.6640625" style="1" customWidth="1"/>
    <col min="3809" max="3809" width="8.5" style="1" customWidth="1"/>
    <col min="3810" max="4047" width="9" style="1"/>
    <col min="4048" max="4048" width="6.6640625" style="1" customWidth="1"/>
    <col min="4049" max="4049" width="6.33203125" style="1" customWidth="1"/>
    <col min="4050" max="4053" width="8" style="1" customWidth="1"/>
    <col min="4054" max="4054" width="7.5" style="1" customWidth="1"/>
    <col min="4055" max="4056" width="8" style="1" customWidth="1"/>
    <col min="4057" max="4058" width="7.6640625" style="1" customWidth="1"/>
    <col min="4059" max="4059" width="9.6640625" style="1" customWidth="1"/>
    <col min="4060" max="4060" width="8.5" style="1" customWidth="1"/>
    <col min="4061" max="4061" width="7.6640625" style="1" customWidth="1"/>
    <col min="4062" max="4062" width="6.33203125" style="1" customWidth="1"/>
    <col min="4063" max="4063" width="8" style="1" customWidth="1"/>
    <col min="4064" max="4064" width="9.6640625" style="1" customWidth="1"/>
    <col min="4065" max="4065" width="8.5" style="1" customWidth="1"/>
    <col min="4066" max="4303" width="9" style="1"/>
    <col min="4304" max="4304" width="6.6640625" style="1" customWidth="1"/>
    <col min="4305" max="4305" width="6.33203125" style="1" customWidth="1"/>
    <col min="4306" max="4309" width="8" style="1" customWidth="1"/>
    <col min="4310" max="4310" width="7.5" style="1" customWidth="1"/>
    <col min="4311" max="4312" width="8" style="1" customWidth="1"/>
    <col min="4313" max="4314" width="7.6640625" style="1" customWidth="1"/>
    <col min="4315" max="4315" width="9.6640625" style="1" customWidth="1"/>
    <col min="4316" max="4316" width="8.5" style="1" customWidth="1"/>
    <col min="4317" max="4317" width="7.6640625" style="1" customWidth="1"/>
    <col min="4318" max="4318" width="6.33203125" style="1" customWidth="1"/>
    <col min="4319" max="4319" width="8" style="1" customWidth="1"/>
    <col min="4320" max="4320" width="9.6640625" style="1" customWidth="1"/>
    <col min="4321" max="4321" width="8.5" style="1" customWidth="1"/>
    <col min="4322" max="4559" width="9" style="1"/>
    <col min="4560" max="4560" width="6.6640625" style="1" customWidth="1"/>
    <col min="4561" max="4561" width="6.33203125" style="1" customWidth="1"/>
    <col min="4562" max="4565" width="8" style="1" customWidth="1"/>
    <col min="4566" max="4566" width="7.5" style="1" customWidth="1"/>
    <col min="4567" max="4568" width="8" style="1" customWidth="1"/>
    <col min="4569" max="4570" width="7.6640625" style="1" customWidth="1"/>
    <col min="4571" max="4571" width="9.6640625" style="1" customWidth="1"/>
    <col min="4572" max="4572" width="8.5" style="1" customWidth="1"/>
    <col min="4573" max="4573" width="7.6640625" style="1" customWidth="1"/>
    <col min="4574" max="4574" width="6.33203125" style="1" customWidth="1"/>
    <col min="4575" max="4575" width="8" style="1" customWidth="1"/>
    <col min="4576" max="4576" width="9.6640625" style="1" customWidth="1"/>
    <col min="4577" max="4577" width="8.5" style="1" customWidth="1"/>
    <col min="4578" max="4815" width="9" style="1"/>
    <col min="4816" max="4816" width="6.6640625" style="1" customWidth="1"/>
    <col min="4817" max="4817" width="6.33203125" style="1" customWidth="1"/>
    <col min="4818" max="4821" width="8" style="1" customWidth="1"/>
    <col min="4822" max="4822" width="7.5" style="1" customWidth="1"/>
    <col min="4823" max="4824" width="8" style="1" customWidth="1"/>
    <col min="4825" max="4826" width="7.6640625" style="1" customWidth="1"/>
    <col min="4827" max="4827" width="9.6640625" style="1" customWidth="1"/>
    <col min="4828" max="4828" width="8.5" style="1" customWidth="1"/>
    <col min="4829" max="4829" width="7.6640625" style="1" customWidth="1"/>
    <col min="4830" max="4830" width="6.33203125" style="1" customWidth="1"/>
    <col min="4831" max="4831" width="8" style="1" customWidth="1"/>
    <col min="4832" max="4832" width="9.6640625" style="1" customWidth="1"/>
    <col min="4833" max="4833" width="8.5" style="1" customWidth="1"/>
    <col min="4834" max="5071" width="9" style="1"/>
    <col min="5072" max="5072" width="6.6640625" style="1" customWidth="1"/>
    <col min="5073" max="5073" width="6.33203125" style="1" customWidth="1"/>
    <col min="5074" max="5077" width="8" style="1" customWidth="1"/>
    <col min="5078" max="5078" width="7.5" style="1" customWidth="1"/>
    <col min="5079" max="5080" width="8" style="1" customWidth="1"/>
    <col min="5081" max="5082" width="7.6640625" style="1" customWidth="1"/>
    <col min="5083" max="5083" width="9.6640625" style="1" customWidth="1"/>
    <col min="5084" max="5084" width="8.5" style="1" customWidth="1"/>
    <col min="5085" max="5085" width="7.6640625" style="1" customWidth="1"/>
    <col min="5086" max="5086" width="6.33203125" style="1" customWidth="1"/>
    <col min="5087" max="5087" width="8" style="1" customWidth="1"/>
    <col min="5088" max="5088" width="9.6640625" style="1" customWidth="1"/>
    <col min="5089" max="5089" width="8.5" style="1" customWidth="1"/>
    <col min="5090" max="5327" width="9" style="1"/>
    <col min="5328" max="5328" width="6.6640625" style="1" customWidth="1"/>
    <col min="5329" max="5329" width="6.33203125" style="1" customWidth="1"/>
    <col min="5330" max="5333" width="8" style="1" customWidth="1"/>
    <col min="5334" max="5334" width="7.5" style="1" customWidth="1"/>
    <col min="5335" max="5336" width="8" style="1" customWidth="1"/>
    <col min="5337" max="5338" width="7.6640625" style="1" customWidth="1"/>
    <col min="5339" max="5339" width="9.6640625" style="1" customWidth="1"/>
    <col min="5340" max="5340" width="8.5" style="1" customWidth="1"/>
    <col min="5341" max="5341" width="7.6640625" style="1" customWidth="1"/>
    <col min="5342" max="5342" width="6.33203125" style="1" customWidth="1"/>
    <col min="5343" max="5343" width="8" style="1" customWidth="1"/>
    <col min="5344" max="5344" width="9.6640625" style="1" customWidth="1"/>
    <col min="5345" max="5345" width="8.5" style="1" customWidth="1"/>
    <col min="5346" max="5583" width="9" style="1"/>
    <col min="5584" max="5584" width="6.6640625" style="1" customWidth="1"/>
    <col min="5585" max="5585" width="6.33203125" style="1" customWidth="1"/>
    <col min="5586" max="5589" width="8" style="1" customWidth="1"/>
    <col min="5590" max="5590" width="7.5" style="1" customWidth="1"/>
    <col min="5591" max="5592" width="8" style="1" customWidth="1"/>
    <col min="5593" max="5594" width="7.6640625" style="1" customWidth="1"/>
    <col min="5595" max="5595" width="9.6640625" style="1" customWidth="1"/>
    <col min="5596" max="5596" width="8.5" style="1" customWidth="1"/>
    <col min="5597" max="5597" width="7.6640625" style="1" customWidth="1"/>
    <col min="5598" max="5598" width="6.33203125" style="1" customWidth="1"/>
    <col min="5599" max="5599" width="8" style="1" customWidth="1"/>
    <col min="5600" max="5600" width="9.6640625" style="1" customWidth="1"/>
    <col min="5601" max="5601" width="8.5" style="1" customWidth="1"/>
    <col min="5602" max="5839" width="9" style="1"/>
    <col min="5840" max="5840" width="6.6640625" style="1" customWidth="1"/>
    <col min="5841" max="5841" width="6.33203125" style="1" customWidth="1"/>
    <col min="5842" max="5845" width="8" style="1" customWidth="1"/>
    <col min="5846" max="5846" width="7.5" style="1" customWidth="1"/>
    <col min="5847" max="5848" width="8" style="1" customWidth="1"/>
    <col min="5849" max="5850" width="7.6640625" style="1" customWidth="1"/>
    <col min="5851" max="5851" width="9.6640625" style="1" customWidth="1"/>
    <col min="5852" max="5852" width="8.5" style="1" customWidth="1"/>
    <col min="5853" max="5853" width="7.6640625" style="1" customWidth="1"/>
    <col min="5854" max="5854" width="6.33203125" style="1" customWidth="1"/>
    <col min="5855" max="5855" width="8" style="1" customWidth="1"/>
    <col min="5856" max="5856" width="9.6640625" style="1" customWidth="1"/>
    <col min="5857" max="5857" width="8.5" style="1" customWidth="1"/>
    <col min="5858" max="6095" width="9" style="1"/>
    <col min="6096" max="6096" width="6.6640625" style="1" customWidth="1"/>
    <col min="6097" max="6097" width="6.33203125" style="1" customWidth="1"/>
    <col min="6098" max="6101" width="8" style="1" customWidth="1"/>
    <col min="6102" max="6102" width="7.5" style="1" customWidth="1"/>
    <col min="6103" max="6104" width="8" style="1" customWidth="1"/>
    <col min="6105" max="6106" width="7.6640625" style="1" customWidth="1"/>
    <col min="6107" max="6107" width="9.6640625" style="1" customWidth="1"/>
    <col min="6108" max="6108" width="8.5" style="1" customWidth="1"/>
    <col min="6109" max="6109" width="7.6640625" style="1" customWidth="1"/>
    <col min="6110" max="6110" width="6.33203125" style="1" customWidth="1"/>
    <col min="6111" max="6111" width="8" style="1" customWidth="1"/>
    <col min="6112" max="6112" width="9.6640625" style="1" customWidth="1"/>
    <col min="6113" max="6113" width="8.5" style="1" customWidth="1"/>
    <col min="6114" max="6351" width="9" style="1"/>
    <col min="6352" max="6352" width="6.6640625" style="1" customWidth="1"/>
    <col min="6353" max="6353" width="6.33203125" style="1" customWidth="1"/>
    <col min="6354" max="6357" width="8" style="1" customWidth="1"/>
    <col min="6358" max="6358" width="7.5" style="1" customWidth="1"/>
    <col min="6359" max="6360" width="8" style="1" customWidth="1"/>
    <col min="6361" max="6362" width="7.6640625" style="1" customWidth="1"/>
    <col min="6363" max="6363" width="9.6640625" style="1" customWidth="1"/>
    <col min="6364" max="6364" width="8.5" style="1" customWidth="1"/>
    <col min="6365" max="6365" width="7.6640625" style="1" customWidth="1"/>
    <col min="6366" max="6366" width="6.33203125" style="1" customWidth="1"/>
    <col min="6367" max="6367" width="8" style="1" customWidth="1"/>
    <col min="6368" max="6368" width="9.6640625" style="1" customWidth="1"/>
    <col min="6369" max="6369" width="8.5" style="1" customWidth="1"/>
    <col min="6370" max="6607" width="9" style="1"/>
    <col min="6608" max="6608" width="6.6640625" style="1" customWidth="1"/>
    <col min="6609" max="6609" width="6.33203125" style="1" customWidth="1"/>
    <col min="6610" max="6613" width="8" style="1" customWidth="1"/>
    <col min="6614" max="6614" width="7.5" style="1" customWidth="1"/>
    <col min="6615" max="6616" width="8" style="1" customWidth="1"/>
    <col min="6617" max="6618" width="7.6640625" style="1" customWidth="1"/>
    <col min="6619" max="6619" width="9.6640625" style="1" customWidth="1"/>
    <col min="6620" max="6620" width="8.5" style="1" customWidth="1"/>
    <col min="6621" max="6621" width="7.6640625" style="1" customWidth="1"/>
    <col min="6622" max="6622" width="6.33203125" style="1" customWidth="1"/>
    <col min="6623" max="6623" width="8" style="1" customWidth="1"/>
    <col min="6624" max="6624" width="9.6640625" style="1" customWidth="1"/>
    <col min="6625" max="6625" width="8.5" style="1" customWidth="1"/>
    <col min="6626" max="6863" width="9" style="1"/>
    <col min="6864" max="6864" width="6.6640625" style="1" customWidth="1"/>
    <col min="6865" max="6865" width="6.33203125" style="1" customWidth="1"/>
    <col min="6866" max="6869" width="8" style="1" customWidth="1"/>
    <col min="6870" max="6870" width="7.5" style="1" customWidth="1"/>
    <col min="6871" max="6872" width="8" style="1" customWidth="1"/>
    <col min="6873" max="6874" width="7.6640625" style="1" customWidth="1"/>
    <col min="6875" max="6875" width="9.6640625" style="1" customWidth="1"/>
    <col min="6876" max="6876" width="8.5" style="1" customWidth="1"/>
    <col min="6877" max="6877" width="7.6640625" style="1" customWidth="1"/>
    <col min="6878" max="6878" width="6.33203125" style="1" customWidth="1"/>
    <col min="6879" max="6879" width="8" style="1" customWidth="1"/>
    <col min="6880" max="6880" width="9.6640625" style="1" customWidth="1"/>
    <col min="6881" max="6881" width="8.5" style="1" customWidth="1"/>
    <col min="6882" max="7119" width="9" style="1"/>
    <col min="7120" max="7120" width="6.6640625" style="1" customWidth="1"/>
    <col min="7121" max="7121" width="6.33203125" style="1" customWidth="1"/>
    <col min="7122" max="7125" width="8" style="1" customWidth="1"/>
    <col min="7126" max="7126" width="7.5" style="1" customWidth="1"/>
    <col min="7127" max="7128" width="8" style="1" customWidth="1"/>
    <col min="7129" max="7130" width="7.6640625" style="1" customWidth="1"/>
    <col min="7131" max="7131" width="9.6640625" style="1" customWidth="1"/>
    <col min="7132" max="7132" width="8.5" style="1" customWidth="1"/>
    <col min="7133" max="7133" width="7.6640625" style="1" customWidth="1"/>
    <col min="7134" max="7134" width="6.33203125" style="1" customWidth="1"/>
    <col min="7135" max="7135" width="8" style="1" customWidth="1"/>
    <col min="7136" max="7136" width="9.6640625" style="1" customWidth="1"/>
    <col min="7137" max="7137" width="8.5" style="1" customWidth="1"/>
    <col min="7138" max="7375" width="9" style="1"/>
    <col min="7376" max="7376" width="6.6640625" style="1" customWidth="1"/>
    <col min="7377" max="7377" width="6.33203125" style="1" customWidth="1"/>
    <col min="7378" max="7381" width="8" style="1" customWidth="1"/>
    <col min="7382" max="7382" width="7.5" style="1" customWidth="1"/>
    <col min="7383" max="7384" width="8" style="1" customWidth="1"/>
    <col min="7385" max="7386" width="7.6640625" style="1" customWidth="1"/>
    <col min="7387" max="7387" width="9.6640625" style="1" customWidth="1"/>
    <col min="7388" max="7388" width="8.5" style="1" customWidth="1"/>
    <col min="7389" max="7389" width="7.6640625" style="1" customWidth="1"/>
    <col min="7390" max="7390" width="6.33203125" style="1" customWidth="1"/>
    <col min="7391" max="7391" width="8" style="1" customWidth="1"/>
    <col min="7392" max="7392" width="9.6640625" style="1" customWidth="1"/>
    <col min="7393" max="7393" width="8.5" style="1" customWidth="1"/>
    <col min="7394" max="7631" width="9" style="1"/>
    <col min="7632" max="7632" width="6.6640625" style="1" customWidth="1"/>
    <col min="7633" max="7633" width="6.33203125" style="1" customWidth="1"/>
    <col min="7634" max="7637" width="8" style="1" customWidth="1"/>
    <col min="7638" max="7638" width="7.5" style="1" customWidth="1"/>
    <col min="7639" max="7640" width="8" style="1" customWidth="1"/>
    <col min="7641" max="7642" width="7.6640625" style="1" customWidth="1"/>
    <col min="7643" max="7643" width="9.6640625" style="1" customWidth="1"/>
    <col min="7644" max="7644" width="8.5" style="1" customWidth="1"/>
    <col min="7645" max="7645" width="7.6640625" style="1" customWidth="1"/>
    <col min="7646" max="7646" width="6.33203125" style="1" customWidth="1"/>
    <col min="7647" max="7647" width="8" style="1" customWidth="1"/>
    <col min="7648" max="7648" width="9.6640625" style="1" customWidth="1"/>
    <col min="7649" max="7649" width="8.5" style="1" customWidth="1"/>
    <col min="7650" max="7887" width="9" style="1"/>
    <col min="7888" max="7888" width="6.6640625" style="1" customWidth="1"/>
    <col min="7889" max="7889" width="6.33203125" style="1" customWidth="1"/>
    <col min="7890" max="7893" width="8" style="1" customWidth="1"/>
    <col min="7894" max="7894" width="7.5" style="1" customWidth="1"/>
    <col min="7895" max="7896" width="8" style="1" customWidth="1"/>
    <col min="7897" max="7898" width="7.6640625" style="1" customWidth="1"/>
    <col min="7899" max="7899" width="9.6640625" style="1" customWidth="1"/>
    <col min="7900" max="7900" width="8.5" style="1" customWidth="1"/>
    <col min="7901" max="7901" width="7.6640625" style="1" customWidth="1"/>
    <col min="7902" max="7902" width="6.33203125" style="1" customWidth="1"/>
    <col min="7903" max="7903" width="8" style="1" customWidth="1"/>
    <col min="7904" max="7904" width="9.6640625" style="1" customWidth="1"/>
    <col min="7905" max="7905" width="8.5" style="1" customWidth="1"/>
    <col min="7906" max="8143" width="9" style="1"/>
    <col min="8144" max="8144" width="6.6640625" style="1" customWidth="1"/>
    <col min="8145" max="8145" width="6.33203125" style="1" customWidth="1"/>
    <col min="8146" max="8149" width="8" style="1" customWidth="1"/>
    <col min="8150" max="8150" width="7.5" style="1" customWidth="1"/>
    <col min="8151" max="8152" width="8" style="1" customWidth="1"/>
    <col min="8153" max="8154" width="7.6640625" style="1" customWidth="1"/>
    <col min="8155" max="8155" width="9.6640625" style="1" customWidth="1"/>
    <col min="8156" max="8156" width="8.5" style="1" customWidth="1"/>
    <col min="8157" max="8157" width="7.6640625" style="1" customWidth="1"/>
    <col min="8158" max="8158" width="6.33203125" style="1" customWidth="1"/>
    <col min="8159" max="8159" width="8" style="1" customWidth="1"/>
    <col min="8160" max="8160" width="9.6640625" style="1" customWidth="1"/>
    <col min="8161" max="8161" width="8.5" style="1" customWidth="1"/>
    <col min="8162" max="8399" width="9" style="1"/>
    <col min="8400" max="8400" width="6.6640625" style="1" customWidth="1"/>
    <col min="8401" max="8401" width="6.33203125" style="1" customWidth="1"/>
    <col min="8402" max="8405" width="8" style="1" customWidth="1"/>
    <col min="8406" max="8406" width="7.5" style="1" customWidth="1"/>
    <col min="8407" max="8408" width="8" style="1" customWidth="1"/>
    <col min="8409" max="8410" width="7.6640625" style="1" customWidth="1"/>
    <col min="8411" max="8411" width="9.6640625" style="1" customWidth="1"/>
    <col min="8412" max="8412" width="8.5" style="1" customWidth="1"/>
    <col min="8413" max="8413" width="7.6640625" style="1" customWidth="1"/>
    <col min="8414" max="8414" width="6.33203125" style="1" customWidth="1"/>
    <col min="8415" max="8415" width="8" style="1" customWidth="1"/>
    <col min="8416" max="8416" width="9.6640625" style="1" customWidth="1"/>
    <col min="8417" max="8417" width="8.5" style="1" customWidth="1"/>
    <col min="8418" max="8655" width="9" style="1"/>
    <col min="8656" max="8656" width="6.6640625" style="1" customWidth="1"/>
    <col min="8657" max="8657" width="6.33203125" style="1" customWidth="1"/>
    <col min="8658" max="8661" width="8" style="1" customWidth="1"/>
    <col min="8662" max="8662" width="7.5" style="1" customWidth="1"/>
    <col min="8663" max="8664" width="8" style="1" customWidth="1"/>
    <col min="8665" max="8666" width="7.6640625" style="1" customWidth="1"/>
    <col min="8667" max="8667" width="9.6640625" style="1" customWidth="1"/>
    <col min="8668" max="8668" width="8.5" style="1" customWidth="1"/>
    <col min="8669" max="8669" width="7.6640625" style="1" customWidth="1"/>
    <col min="8670" max="8670" width="6.33203125" style="1" customWidth="1"/>
    <col min="8671" max="8671" width="8" style="1" customWidth="1"/>
    <col min="8672" max="8672" width="9.6640625" style="1" customWidth="1"/>
    <col min="8673" max="8673" width="8.5" style="1" customWidth="1"/>
    <col min="8674" max="8911" width="9" style="1"/>
    <col min="8912" max="8912" width="6.6640625" style="1" customWidth="1"/>
    <col min="8913" max="8913" width="6.33203125" style="1" customWidth="1"/>
    <col min="8914" max="8917" width="8" style="1" customWidth="1"/>
    <col min="8918" max="8918" width="7.5" style="1" customWidth="1"/>
    <col min="8919" max="8920" width="8" style="1" customWidth="1"/>
    <col min="8921" max="8922" width="7.6640625" style="1" customWidth="1"/>
    <col min="8923" max="8923" width="9.6640625" style="1" customWidth="1"/>
    <col min="8924" max="8924" width="8.5" style="1" customWidth="1"/>
    <col min="8925" max="8925" width="7.6640625" style="1" customWidth="1"/>
    <col min="8926" max="8926" width="6.33203125" style="1" customWidth="1"/>
    <col min="8927" max="8927" width="8" style="1" customWidth="1"/>
    <col min="8928" max="8928" width="9.6640625" style="1" customWidth="1"/>
    <col min="8929" max="8929" width="8.5" style="1" customWidth="1"/>
    <col min="8930" max="9167" width="9" style="1"/>
    <col min="9168" max="9168" width="6.6640625" style="1" customWidth="1"/>
    <col min="9169" max="9169" width="6.33203125" style="1" customWidth="1"/>
    <col min="9170" max="9173" width="8" style="1" customWidth="1"/>
    <col min="9174" max="9174" width="7.5" style="1" customWidth="1"/>
    <col min="9175" max="9176" width="8" style="1" customWidth="1"/>
    <col min="9177" max="9178" width="7.6640625" style="1" customWidth="1"/>
    <col min="9179" max="9179" width="9.6640625" style="1" customWidth="1"/>
    <col min="9180" max="9180" width="8.5" style="1" customWidth="1"/>
    <col min="9181" max="9181" width="7.6640625" style="1" customWidth="1"/>
    <col min="9182" max="9182" width="6.33203125" style="1" customWidth="1"/>
    <col min="9183" max="9183" width="8" style="1" customWidth="1"/>
    <col min="9184" max="9184" width="9.6640625" style="1" customWidth="1"/>
    <col min="9185" max="9185" width="8.5" style="1" customWidth="1"/>
    <col min="9186" max="9423" width="9" style="1"/>
    <col min="9424" max="9424" width="6.6640625" style="1" customWidth="1"/>
    <col min="9425" max="9425" width="6.33203125" style="1" customWidth="1"/>
    <col min="9426" max="9429" width="8" style="1" customWidth="1"/>
    <col min="9430" max="9430" width="7.5" style="1" customWidth="1"/>
    <col min="9431" max="9432" width="8" style="1" customWidth="1"/>
    <col min="9433" max="9434" width="7.6640625" style="1" customWidth="1"/>
    <col min="9435" max="9435" width="9.6640625" style="1" customWidth="1"/>
    <col min="9436" max="9436" width="8.5" style="1" customWidth="1"/>
    <col min="9437" max="9437" width="7.6640625" style="1" customWidth="1"/>
    <col min="9438" max="9438" width="6.33203125" style="1" customWidth="1"/>
    <col min="9439" max="9439" width="8" style="1" customWidth="1"/>
    <col min="9440" max="9440" width="9.6640625" style="1" customWidth="1"/>
    <col min="9441" max="9441" width="8.5" style="1" customWidth="1"/>
    <col min="9442" max="9679" width="9" style="1"/>
    <col min="9680" max="9680" width="6.6640625" style="1" customWidth="1"/>
    <col min="9681" max="9681" width="6.33203125" style="1" customWidth="1"/>
    <col min="9682" max="9685" width="8" style="1" customWidth="1"/>
    <col min="9686" max="9686" width="7.5" style="1" customWidth="1"/>
    <col min="9687" max="9688" width="8" style="1" customWidth="1"/>
    <col min="9689" max="9690" width="7.6640625" style="1" customWidth="1"/>
    <col min="9691" max="9691" width="9.6640625" style="1" customWidth="1"/>
    <col min="9692" max="9692" width="8.5" style="1" customWidth="1"/>
    <col min="9693" max="9693" width="7.6640625" style="1" customWidth="1"/>
    <col min="9694" max="9694" width="6.33203125" style="1" customWidth="1"/>
    <col min="9695" max="9695" width="8" style="1" customWidth="1"/>
    <col min="9696" max="9696" width="9.6640625" style="1" customWidth="1"/>
    <col min="9697" max="9697" width="8.5" style="1" customWidth="1"/>
    <col min="9698" max="9935" width="9" style="1"/>
    <col min="9936" max="9936" width="6.6640625" style="1" customWidth="1"/>
    <col min="9937" max="9937" width="6.33203125" style="1" customWidth="1"/>
    <col min="9938" max="9941" width="8" style="1" customWidth="1"/>
    <col min="9942" max="9942" width="7.5" style="1" customWidth="1"/>
    <col min="9943" max="9944" width="8" style="1" customWidth="1"/>
    <col min="9945" max="9946" width="7.6640625" style="1" customWidth="1"/>
    <col min="9947" max="9947" width="9.6640625" style="1" customWidth="1"/>
    <col min="9948" max="9948" width="8.5" style="1" customWidth="1"/>
    <col min="9949" max="9949" width="7.6640625" style="1" customWidth="1"/>
    <col min="9950" max="9950" width="6.33203125" style="1" customWidth="1"/>
    <col min="9951" max="9951" width="8" style="1" customWidth="1"/>
    <col min="9952" max="9952" width="9.6640625" style="1" customWidth="1"/>
    <col min="9953" max="9953" width="8.5" style="1" customWidth="1"/>
    <col min="9954" max="10191" width="9" style="1"/>
    <col min="10192" max="10192" width="6.6640625" style="1" customWidth="1"/>
    <col min="10193" max="10193" width="6.33203125" style="1" customWidth="1"/>
    <col min="10194" max="10197" width="8" style="1" customWidth="1"/>
    <col min="10198" max="10198" width="7.5" style="1" customWidth="1"/>
    <col min="10199" max="10200" width="8" style="1" customWidth="1"/>
    <col min="10201" max="10202" width="7.6640625" style="1" customWidth="1"/>
    <col min="10203" max="10203" width="9.6640625" style="1" customWidth="1"/>
    <col min="10204" max="10204" width="8.5" style="1" customWidth="1"/>
    <col min="10205" max="10205" width="7.6640625" style="1" customWidth="1"/>
    <col min="10206" max="10206" width="6.33203125" style="1" customWidth="1"/>
    <col min="10207" max="10207" width="8" style="1" customWidth="1"/>
    <col min="10208" max="10208" width="9.6640625" style="1" customWidth="1"/>
    <col min="10209" max="10209" width="8.5" style="1" customWidth="1"/>
    <col min="10210" max="10447" width="9" style="1"/>
    <col min="10448" max="10448" width="6.6640625" style="1" customWidth="1"/>
    <col min="10449" max="10449" width="6.33203125" style="1" customWidth="1"/>
    <col min="10450" max="10453" width="8" style="1" customWidth="1"/>
    <col min="10454" max="10454" width="7.5" style="1" customWidth="1"/>
    <col min="10455" max="10456" width="8" style="1" customWidth="1"/>
    <col min="10457" max="10458" width="7.6640625" style="1" customWidth="1"/>
    <col min="10459" max="10459" width="9.6640625" style="1" customWidth="1"/>
    <col min="10460" max="10460" width="8.5" style="1" customWidth="1"/>
    <col min="10461" max="10461" width="7.6640625" style="1" customWidth="1"/>
    <col min="10462" max="10462" width="6.33203125" style="1" customWidth="1"/>
    <col min="10463" max="10463" width="8" style="1" customWidth="1"/>
    <col min="10464" max="10464" width="9.6640625" style="1" customWidth="1"/>
    <col min="10465" max="10465" width="8.5" style="1" customWidth="1"/>
    <col min="10466" max="10703" width="9" style="1"/>
    <col min="10704" max="10704" width="6.6640625" style="1" customWidth="1"/>
    <col min="10705" max="10705" width="6.33203125" style="1" customWidth="1"/>
    <col min="10706" max="10709" width="8" style="1" customWidth="1"/>
    <col min="10710" max="10710" width="7.5" style="1" customWidth="1"/>
    <col min="10711" max="10712" width="8" style="1" customWidth="1"/>
    <col min="10713" max="10714" width="7.6640625" style="1" customWidth="1"/>
    <col min="10715" max="10715" width="9.6640625" style="1" customWidth="1"/>
    <col min="10716" max="10716" width="8.5" style="1" customWidth="1"/>
    <col min="10717" max="10717" width="7.6640625" style="1" customWidth="1"/>
    <col min="10718" max="10718" width="6.33203125" style="1" customWidth="1"/>
    <col min="10719" max="10719" width="8" style="1" customWidth="1"/>
    <col min="10720" max="10720" width="9.6640625" style="1" customWidth="1"/>
    <col min="10721" max="10721" width="8.5" style="1" customWidth="1"/>
    <col min="10722" max="10959" width="9" style="1"/>
    <col min="10960" max="10960" width="6.6640625" style="1" customWidth="1"/>
    <col min="10961" max="10961" width="6.33203125" style="1" customWidth="1"/>
    <col min="10962" max="10965" width="8" style="1" customWidth="1"/>
    <col min="10966" max="10966" width="7.5" style="1" customWidth="1"/>
    <col min="10967" max="10968" width="8" style="1" customWidth="1"/>
    <col min="10969" max="10970" width="7.6640625" style="1" customWidth="1"/>
    <col min="10971" max="10971" width="9.6640625" style="1" customWidth="1"/>
    <col min="10972" max="10972" width="8.5" style="1" customWidth="1"/>
    <col min="10973" max="10973" width="7.6640625" style="1" customWidth="1"/>
    <col min="10974" max="10974" width="6.33203125" style="1" customWidth="1"/>
    <col min="10975" max="10975" width="8" style="1" customWidth="1"/>
    <col min="10976" max="10976" width="9.6640625" style="1" customWidth="1"/>
    <col min="10977" max="10977" width="8.5" style="1" customWidth="1"/>
    <col min="10978" max="11215" width="9" style="1"/>
    <col min="11216" max="11216" width="6.6640625" style="1" customWidth="1"/>
    <col min="11217" max="11217" width="6.33203125" style="1" customWidth="1"/>
    <col min="11218" max="11221" width="8" style="1" customWidth="1"/>
    <col min="11222" max="11222" width="7.5" style="1" customWidth="1"/>
    <col min="11223" max="11224" width="8" style="1" customWidth="1"/>
    <col min="11225" max="11226" width="7.6640625" style="1" customWidth="1"/>
    <col min="11227" max="11227" width="9.6640625" style="1" customWidth="1"/>
    <col min="11228" max="11228" width="8.5" style="1" customWidth="1"/>
    <col min="11229" max="11229" width="7.6640625" style="1" customWidth="1"/>
    <col min="11230" max="11230" width="6.33203125" style="1" customWidth="1"/>
    <col min="11231" max="11231" width="8" style="1" customWidth="1"/>
    <col min="11232" max="11232" width="9.6640625" style="1" customWidth="1"/>
    <col min="11233" max="11233" width="8.5" style="1" customWidth="1"/>
    <col min="11234" max="11471" width="9" style="1"/>
    <col min="11472" max="11472" width="6.6640625" style="1" customWidth="1"/>
    <col min="11473" max="11473" width="6.33203125" style="1" customWidth="1"/>
    <col min="11474" max="11477" width="8" style="1" customWidth="1"/>
    <col min="11478" max="11478" width="7.5" style="1" customWidth="1"/>
    <col min="11479" max="11480" width="8" style="1" customWidth="1"/>
    <col min="11481" max="11482" width="7.6640625" style="1" customWidth="1"/>
    <col min="11483" max="11483" width="9.6640625" style="1" customWidth="1"/>
    <col min="11484" max="11484" width="8.5" style="1" customWidth="1"/>
    <col min="11485" max="11485" width="7.6640625" style="1" customWidth="1"/>
    <col min="11486" max="11486" width="6.33203125" style="1" customWidth="1"/>
    <col min="11487" max="11487" width="8" style="1" customWidth="1"/>
    <col min="11488" max="11488" width="9.6640625" style="1" customWidth="1"/>
    <col min="11489" max="11489" width="8.5" style="1" customWidth="1"/>
    <col min="11490" max="11727" width="9" style="1"/>
    <col min="11728" max="11728" width="6.6640625" style="1" customWidth="1"/>
    <col min="11729" max="11729" width="6.33203125" style="1" customWidth="1"/>
    <col min="11730" max="11733" width="8" style="1" customWidth="1"/>
    <col min="11734" max="11734" width="7.5" style="1" customWidth="1"/>
    <col min="11735" max="11736" width="8" style="1" customWidth="1"/>
    <col min="11737" max="11738" width="7.6640625" style="1" customWidth="1"/>
    <col min="11739" max="11739" width="9.6640625" style="1" customWidth="1"/>
    <col min="11740" max="11740" width="8.5" style="1" customWidth="1"/>
    <col min="11741" max="11741" width="7.6640625" style="1" customWidth="1"/>
    <col min="11742" max="11742" width="6.33203125" style="1" customWidth="1"/>
    <col min="11743" max="11743" width="8" style="1" customWidth="1"/>
    <col min="11744" max="11744" width="9.6640625" style="1" customWidth="1"/>
    <col min="11745" max="11745" width="8.5" style="1" customWidth="1"/>
    <col min="11746" max="11983" width="9" style="1"/>
    <col min="11984" max="11984" width="6.6640625" style="1" customWidth="1"/>
    <col min="11985" max="11985" width="6.33203125" style="1" customWidth="1"/>
    <col min="11986" max="11989" width="8" style="1" customWidth="1"/>
    <col min="11990" max="11990" width="7.5" style="1" customWidth="1"/>
    <col min="11991" max="11992" width="8" style="1" customWidth="1"/>
    <col min="11993" max="11994" width="7.6640625" style="1" customWidth="1"/>
    <col min="11995" max="11995" width="9.6640625" style="1" customWidth="1"/>
    <col min="11996" max="11996" width="8.5" style="1" customWidth="1"/>
    <col min="11997" max="11997" width="7.6640625" style="1" customWidth="1"/>
    <col min="11998" max="11998" width="6.33203125" style="1" customWidth="1"/>
    <col min="11999" max="11999" width="8" style="1" customWidth="1"/>
    <col min="12000" max="12000" width="9.6640625" style="1" customWidth="1"/>
    <col min="12001" max="12001" width="8.5" style="1" customWidth="1"/>
    <col min="12002" max="12239" width="9" style="1"/>
    <col min="12240" max="12240" width="6.6640625" style="1" customWidth="1"/>
    <col min="12241" max="12241" width="6.33203125" style="1" customWidth="1"/>
    <col min="12242" max="12245" width="8" style="1" customWidth="1"/>
    <col min="12246" max="12246" width="7.5" style="1" customWidth="1"/>
    <col min="12247" max="12248" width="8" style="1" customWidth="1"/>
    <col min="12249" max="12250" width="7.6640625" style="1" customWidth="1"/>
    <col min="12251" max="12251" width="9.6640625" style="1" customWidth="1"/>
    <col min="12252" max="12252" width="8.5" style="1" customWidth="1"/>
    <col min="12253" max="12253" width="7.6640625" style="1" customWidth="1"/>
    <col min="12254" max="12254" width="6.33203125" style="1" customWidth="1"/>
    <col min="12255" max="12255" width="8" style="1" customWidth="1"/>
    <col min="12256" max="12256" width="9.6640625" style="1" customWidth="1"/>
    <col min="12257" max="12257" width="8.5" style="1" customWidth="1"/>
    <col min="12258" max="12495" width="9" style="1"/>
    <col min="12496" max="12496" width="6.6640625" style="1" customWidth="1"/>
    <col min="12497" max="12497" width="6.33203125" style="1" customWidth="1"/>
    <col min="12498" max="12501" width="8" style="1" customWidth="1"/>
    <col min="12502" max="12502" width="7.5" style="1" customWidth="1"/>
    <col min="12503" max="12504" width="8" style="1" customWidth="1"/>
    <col min="12505" max="12506" width="7.6640625" style="1" customWidth="1"/>
    <col min="12507" max="12507" width="9.6640625" style="1" customWidth="1"/>
    <col min="12508" max="12508" width="8.5" style="1" customWidth="1"/>
    <col min="12509" max="12509" width="7.6640625" style="1" customWidth="1"/>
    <col min="12510" max="12510" width="6.33203125" style="1" customWidth="1"/>
    <col min="12511" max="12511" width="8" style="1" customWidth="1"/>
    <col min="12512" max="12512" width="9.6640625" style="1" customWidth="1"/>
    <col min="12513" max="12513" width="8.5" style="1" customWidth="1"/>
    <col min="12514" max="12751" width="9" style="1"/>
    <col min="12752" max="12752" width="6.6640625" style="1" customWidth="1"/>
    <col min="12753" max="12753" width="6.33203125" style="1" customWidth="1"/>
    <col min="12754" max="12757" width="8" style="1" customWidth="1"/>
    <col min="12758" max="12758" width="7.5" style="1" customWidth="1"/>
    <col min="12759" max="12760" width="8" style="1" customWidth="1"/>
    <col min="12761" max="12762" width="7.6640625" style="1" customWidth="1"/>
    <col min="12763" max="12763" width="9.6640625" style="1" customWidth="1"/>
    <col min="12764" max="12764" width="8.5" style="1" customWidth="1"/>
    <col min="12765" max="12765" width="7.6640625" style="1" customWidth="1"/>
    <col min="12766" max="12766" width="6.33203125" style="1" customWidth="1"/>
    <col min="12767" max="12767" width="8" style="1" customWidth="1"/>
    <col min="12768" max="12768" width="9.6640625" style="1" customWidth="1"/>
    <col min="12769" max="12769" width="8.5" style="1" customWidth="1"/>
    <col min="12770" max="13007" width="9" style="1"/>
    <col min="13008" max="13008" width="6.6640625" style="1" customWidth="1"/>
    <col min="13009" max="13009" width="6.33203125" style="1" customWidth="1"/>
    <col min="13010" max="13013" width="8" style="1" customWidth="1"/>
    <col min="13014" max="13014" width="7.5" style="1" customWidth="1"/>
    <col min="13015" max="13016" width="8" style="1" customWidth="1"/>
    <col min="13017" max="13018" width="7.6640625" style="1" customWidth="1"/>
    <col min="13019" max="13019" width="9.6640625" style="1" customWidth="1"/>
    <col min="13020" max="13020" width="8.5" style="1" customWidth="1"/>
    <col min="13021" max="13021" width="7.6640625" style="1" customWidth="1"/>
    <col min="13022" max="13022" width="6.33203125" style="1" customWidth="1"/>
    <col min="13023" max="13023" width="8" style="1" customWidth="1"/>
    <col min="13024" max="13024" width="9.6640625" style="1" customWidth="1"/>
    <col min="13025" max="13025" width="8.5" style="1" customWidth="1"/>
    <col min="13026" max="13263" width="9" style="1"/>
    <col min="13264" max="13264" width="6.6640625" style="1" customWidth="1"/>
    <col min="13265" max="13265" width="6.33203125" style="1" customWidth="1"/>
    <col min="13266" max="13269" width="8" style="1" customWidth="1"/>
    <col min="13270" max="13270" width="7.5" style="1" customWidth="1"/>
    <col min="13271" max="13272" width="8" style="1" customWidth="1"/>
    <col min="13273" max="13274" width="7.6640625" style="1" customWidth="1"/>
    <col min="13275" max="13275" width="9.6640625" style="1" customWidth="1"/>
    <col min="13276" max="13276" width="8.5" style="1" customWidth="1"/>
    <col min="13277" max="13277" width="7.6640625" style="1" customWidth="1"/>
    <col min="13278" max="13278" width="6.33203125" style="1" customWidth="1"/>
    <col min="13279" max="13279" width="8" style="1" customWidth="1"/>
    <col min="13280" max="13280" width="9.6640625" style="1" customWidth="1"/>
    <col min="13281" max="13281" width="8.5" style="1" customWidth="1"/>
    <col min="13282" max="13519" width="9" style="1"/>
    <col min="13520" max="13520" width="6.6640625" style="1" customWidth="1"/>
    <col min="13521" max="13521" width="6.33203125" style="1" customWidth="1"/>
    <col min="13522" max="13525" width="8" style="1" customWidth="1"/>
    <col min="13526" max="13526" width="7.5" style="1" customWidth="1"/>
    <col min="13527" max="13528" width="8" style="1" customWidth="1"/>
    <col min="13529" max="13530" width="7.6640625" style="1" customWidth="1"/>
    <col min="13531" max="13531" width="9.6640625" style="1" customWidth="1"/>
    <col min="13532" max="13532" width="8.5" style="1" customWidth="1"/>
    <col min="13533" max="13533" width="7.6640625" style="1" customWidth="1"/>
    <col min="13534" max="13534" width="6.33203125" style="1" customWidth="1"/>
    <col min="13535" max="13535" width="8" style="1" customWidth="1"/>
    <col min="13536" max="13536" width="9.6640625" style="1" customWidth="1"/>
    <col min="13537" max="13537" width="8.5" style="1" customWidth="1"/>
    <col min="13538" max="13775" width="9" style="1"/>
    <col min="13776" max="13776" width="6.6640625" style="1" customWidth="1"/>
    <col min="13777" max="13777" width="6.33203125" style="1" customWidth="1"/>
    <col min="13778" max="13781" width="8" style="1" customWidth="1"/>
    <col min="13782" max="13782" width="7.5" style="1" customWidth="1"/>
    <col min="13783" max="13784" width="8" style="1" customWidth="1"/>
    <col min="13785" max="13786" width="7.6640625" style="1" customWidth="1"/>
    <col min="13787" max="13787" width="9.6640625" style="1" customWidth="1"/>
    <col min="13788" max="13788" width="8.5" style="1" customWidth="1"/>
    <col min="13789" max="13789" width="7.6640625" style="1" customWidth="1"/>
    <col min="13790" max="13790" width="6.33203125" style="1" customWidth="1"/>
    <col min="13791" max="13791" width="8" style="1" customWidth="1"/>
    <col min="13792" max="13792" width="9.6640625" style="1" customWidth="1"/>
    <col min="13793" max="13793" width="8.5" style="1" customWidth="1"/>
    <col min="13794" max="14031" width="9" style="1"/>
    <col min="14032" max="14032" width="6.6640625" style="1" customWidth="1"/>
    <col min="14033" max="14033" width="6.33203125" style="1" customWidth="1"/>
    <col min="14034" max="14037" width="8" style="1" customWidth="1"/>
    <col min="14038" max="14038" width="7.5" style="1" customWidth="1"/>
    <col min="14039" max="14040" width="8" style="1" customWidth="1"/>
    <col min="14041" max="14042" width="7.6640625" style="1" customWidth="1"/>
    <col min="14043" max="14043" width="9.6640625" style="1" customWidth="1"/>
    <col min="14044" max="14044" width="8.5" style="1" customWidth="1"/>
    <col min="14045" max="14045" width="7.6640625" style="1" customWidth="1"/>
    <col min="14046" max="14046" width="6.33203125" style="1" customWidth="1"/>
    <col min="14047" max="14047" width="8" style="1" customWidth="1"/>
    <col min="14048" max="14048" width="9.6640625" style="1" customWidth="1"/>
    <col min="14049" max="14049" width="8.5" style="1" customWidth="1"/>
    <col min="14050" max="14287" width="9" style="1"/>
    <col min="14288" max="14288" width="6.6640625" style="1" customWidth="1"/>
    <col min="14289" max="14289" width="6.33203125" style="1" customWidth="1"/>
    <col min="14290" max="14293" width="8" style="1" customWidth="1"/>
    <col min="14294" max="14294" width="7.5" style="1" customWidth="1"/>
    <col min="14295" max="14296" width="8" style="1" customWidth="1"/>
    <col min="14297" max="14298" width="7.6640625" style="1" customWidth="1"/>
    <col min="14299" max="14299" width="9.6640625" style="1" customWidth="1"/>
    <col min="14300" max="14300" width="8.5" style="1" customWidth="1"/>
    <col min="14301" max="14301" width="7.6640625" style="1" customWidth="1"/>
    <col min="14302" max="14302" width="6.33203125" style="1" customWidth="1"/>
    <col min="14303" max="14303" width="8" style="1" customWidth="1"/>
    <col min="14304" max="14304" width="9.6640625" style="1" customWidth="1"/>
    <col min="14305" max="14305" width="8.5" style="1" customWidth="1"/>
    <col min="14306" max="14543" width="9" style="1"/>
    <col min="14544" max="14544" width="6.6640625" style="1" customWidth="1"/>
    <col min="14545" max="14545" width="6.33203125" style="1" customWidth="1"/>
    <col min="14546" max="14549" width="8" style="1" customWidth="1"/>
    <col min="14550" max="14550" width="7.5" style="1" customWidth="1"/>
    <col min="14551" max="14552" width="8" style="1" customWidth="1"/>
    <col min="14553" max="14554" width="7.6640625" style="1" customWidth="1"/>
    <col min="14555" max="14555" width="9.6640625" style="1" customWidth="1"/>
    <col min="14556" max="14556" width="8.5" style="1" customWidth="1"/>
    <col min="14557" max="14557" width="7.6640625" style="1" customWidth="1"/>
    <col min="14558" max="14558" width="6.33203125" style="1" customWidth="1"/>
    <col min="14559" max="14559" width="8" style="1" customWidth="1"/>
    <col min="14560" max="14560" width="9.6640625" style="1" customWidth="1"/>
    <col min="14561" max="14561" width="8.5" style="1" customWidth="1"/>
    <col min="14562" max="14799" width="9" style="1"/>
    <col min="14800" max="14800" width="6.6640625" style="1" customWidth="1"/>
    <col min="14801" max="14801" width="6.33203125" style="1" customWidth="1"/>
    <col min="14802" max="14805" width="8" style="1" customWidth="1"/>
    <col min="14806" max="14806" width="7.5" style="1" customWidth="1"/>
    <col min="14807" max="14808" width="8" style="1" customWidth="1"/>
    <col min="14809" max="14810" width="7.6640625" style="1" customWidth="1"/>
    <col min="14811" max="14811" width="9.6640625" style="1" customWidth="1"/>
    <col min="14812" max="14812" width="8.5" style="1" customWidth="1"/>
    <col min="14813" max="14813" width="7.6640625" style="1" customWidth="1"/>
    <col min="14814" max="14814" width="6.33203125" style="1" customWidth="1"/>
    <col min="14815" max="14815" width="8" style="1" customWidth="1"/>
    <col min="14816" max="14816" width="9.6640625" style="1" customWidth="1"/>
    <col min="14817" max="14817" width="8.5" style="1" customWidth="1"/>
    <col min="14818" max="15055" width="9" style="1"/>
    <col min="15056" max="15056" width="6.6640625" style="1" customWidth="1"/>
    <col min="15057" max="15057" width="6.33203125" style="1" customWidth="1"/>
    <col min="15058" max="15061" width="8" style="1" customWidth="1"/>
    <col min="15062" max="15062" width="7.5" style="1" customWidth="1"/>
    <col min="15063" max="15064" width="8" style="1" customWidth="1"/>
    <col min="15065" max="15066" width="7.6640625" style="1" customWidth="1"/>
    <col min="15067" max="15067" width="9.6640625" style="1" customWidth="1"/>
    <col min="15068" max="15068" width="8.5" style="1" customWidth="1"/>
    <col min="15069" max="15069" width="7.6640625" style="1" customWidth="1"/>
    <col min="15070" max="15070" width="6.33203125" style="1" customWidth="1"/>
    <col min="15071" max="15071" width="8" style="1" customWidth="1"/>
    <col min="15072" max="15072" width="9.6640625" style="1" customWidth="1"/>
    <col min="15073" max="15073" width="8.5" style="1" customWidth="1"/>
    <col min="15074" max="15311" width="9" style="1"/>
    <col min="15312" max="15312" width="6.6640625" style="1" customWidth="1"/>
    <col min="15313" max="15313" width="6.33203125" style="1" customWidth="1"/>
    <col min="15314" max="15317" width="8" style="1" customWidth="1"/>
    <col min="15318" max="15318" width="7.5" style="1" customWidth="1"/>
    <col min="15319" max="15320" width="8" style="1" customWidth="1"/>
    <col min="15321" max="15322" width="7.6640625" style="1" customWidth="1"/>
    <col min="15323" max="15323" width="9.6640625" style="1" customWidth="1"/>
    <col min="15324" max="15324" width="8.5" style="1" customWidth="1"/>
    <col min="15325" max="15325" width="7.6640625" style="1" customWidth="1"/>
    <col min="15326" max="15326" width="6.33203125" style="1" customWidth="1"/>
    <col min="15327" max="15327" width="8" style="1" customWidth="1"/>
    <col min="15328" max="15328" width="9.6640625" style="1" customWidth="1"/>
    <col min="15329" max="15329" width="8.5" style="1" customWidth="1"/>
    <col min="15330" max="15567" width="9" style="1"/>
    <col min="15568" max="15568" width="6.6640625" style="1" customWidth="1"/>
    <col min="15569" max="15569" width="6.33203125" style="1" customWidth="1"/>
    <col min="15570" max="15573" width="8" style="1" customWidth="1"/>
    <col min="15574" max="15574" width="7.5" style="1" customWidth="1"/>
    <col min="15575" max="15576" width="8" style="1" customWidth="1"/>
    <col min="15577" max="15578" width="7.6640625" style="1" customWidth="1"/>
    <col min="15579" max="15579" width="9.6640625" style="1" customWidth="1"/>
    <col min="15580" max="15580" width="8.5" style="1" customWidth="1"/>
    <col min="15581" max="15581" width="7.6640625" style="1" customWidth="1"/>
    <col min="15582" max="15582" width="6.33203125" style="1" customWidth="1"/>
    <col min="15583" max="15583" width="8" style="1" customWidth="1"/>
    <col min="15584" max="15584" width="9.6640625" style="1" customWidth="1"/>
    <col min="15585" max="15585" width="8.5" style="1" customWidth="1"/>
    <col min="15586" max="15823" width="9" style="1"/>
    <col min="15824" max="15824" width="6.6640625" style="1" customWidth="1"/>
    <col min="15825" max="15825" width="6.33203125" style="1" customWidth="1"/>
    <col min="15826" max="15829" width="8" style="1" customWidth="1"/>
    <col min="15830" max="15830" width="7.5" style="1" customWidth="1"/>
    <col min="15831" max="15832" width="8" style="1" customWidth="1"/>
    <col min="15833" max="15834" width="7.6640625" style="1" customWidth="1"/>
    <col min="15835" max="15835" width="9.6640625" style="1" customWidth="1"/>
    <col min="15836" max="15836" width="8.5" style="1" customWidth="1"/>
    <col min="15837" max="15837" width="7.6640625" style="1" customWidth="1"/>
    <col min="15838" max="15838" width="6.33203125" style="1" customWidth="1"/>
    <col min="15839" max="15839" width="8" style="1" customWidth="1"/>
    <col min="15840" max="15840" width="9.6640625" style="1" customWidth="1"/>
    <col min="15841" max="15841" width="8.5" style="1" customWidth="1"/>
    <col min="15842" max="16079" width="9" style="1"/>
    <col min="16080" max="16080" width="6.6640625" style="1" customWidth="1"/>
    <col min="16081" max="16081" width="6.33203125" style="1" customWidth="1"/>
    <col min="16082" max="16085" width="8" style="1" customWidth="1"/>
    <col min="16086" max="16086" width="7.5" style="1" customWidth="1"/>
    <col min="16087" max="16088" width="8" style="1" customWidth="1"/>
    <col min="16089" max="16090" width="7.6640625" style="1" customWidth="1"/>
    <col min="16091" max="16091" width="9.6640625" style="1" customWidth="1"/>
    <col min="16092" max="16092" width="8.5" style="1" customWidth="1"/>
    <col min="16093" max="16093" width="7.6640625" style="1" customWidth="1"/>
    <col min="16094" max="16094" width="6.33203125" style="1" customWidth="1"/>
    <col min="16095" max="16095" width="8" style="1" customWidth="1"/>
    <col min="16096" max="16096" width="9.6640625" style="1" customWidth="1"/>
    <col min="16097" max="16097" width="8.5" style="1" customWidth="1"/>
    <col min="16098" max="16384" width="9" style="1"/>
  </cols>
  <sheetData>
    <row r="1" spans="1:15" ht="33" customHeight="1">
      <c r="A1" s="14" t="s">
        <v>41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8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O2" s="3" t="s">
        <v>0</v>
      </c>
    </row>
    <row r="3" spans="1:15" s="7" customFormat="1" ht="32">
      <c r="A3" s="15" t="s">
        <v>1</v>
      </c>
      <c r="B3" s="18" t="s">
        <v>26</v>
      </c>
      <c r="C3" s="15" t="s">
        <v>27</v>
      </c>
      <c r="D3" s="16" t="s">
        <v>3</v>
      </c>
      <c r="E3" s="15" t="s">
        <v>4</v>
      </c>
      <c r="F3" s="15" t="s">
        <v>5</v>
      </c>
      <c r="G3" s="15" t="s">
        <v>20</v>
      </c>
      <c r="H3" s="15" t="s">
        <v>8</v>
      </c>
      <c r="I3" s="15" t="s">
        <v>9</v>
      </c>
      <c r="J3" s="15" t="s">
        <v>10</v>
      </c>
      <c r="K3" s="15" t="s">
        <v>11</v>
      </c>
      <c r="L3" s="15" t="s">
        <v>12</v>
      </c>
      <c r="M3" s="15" t="s">
        <v>22</v>
      </c>
      <c r="N3" s="15" t="s">
        <v>31</v>
      </c>
      <c r="O3" s="17" t="s">
        <v>15</v>
      </c>
    </row>
    <row r="4" spans="1:15" ht="18" customHeight="1">
      <c r="A4" s="9" t="s">
        <v>16</v>
      </c>
      <c r="B4" s="8">
        <v>27083</v>
      </c>
      <c r="C4" s="8"/>
      <c r="D4" s="8">
        <v>0</v>
      </c>
      <c r="E4" s="8">
        <v>3200</v>
      </c>
      <c r="F4" s="8">
        <v>500</v>
      </c>
      <c r="G4" s="8"/>
      <c r="H4" s="8">
        <v>-128.1</v>
      </c>
      <c r="I4" s="8">
        <v>-21</v>
      </c>
      <c r="J4" s="8">
        <v>-512.4</v>
      </c>
      <c r="K4" s="8">
        <v>-2049.6</v>
      </c>
      <c r="L4" s="8">
        <v>-3343</v>
      </c>
      <c r="M4" s="8">
        <v>-4807.2299999999996</v>
      </c>
      <c r="N4" s="8">
        <v>0</v>
      </c>
      <c r="O4" s="10">
        <v>19921.669999999998</v>
      </c>
    </row>
    <row r="5" spans="1:15" ht="18" customHeight="1">
      <c r="A5" s="9" t="s">
        <v>16</v>
      </c>
      <c r="B5" s="8">
        <v>0</v>
      </c>
      <c r="C5" s="8">
        <v>10821.5</v>
      </c>
      <c r="D5" s="8">
        <v>8657.2000000000007</v>
      </c>
      <c r="E5" s="8">
        <v>0</v>
      </c>
      <c r="F5" s="8">
        <v>0</v>
      </c>
      <c r="G5" s="8"/>
      <c r="H5" s="8">
        <v>-108.3</v>
      </c>
      <c r="I5" s="8">
        <v>-21</v>
      </c>
      <c r="J5" s="8">
        <v>-433.2</v>
      </c>
      <c r="K5" s="8">
        <v>-1732.8</v>
      </c>
      <c r="L5" s="8">
        <v>-2599</v>
      </c>
      <c r="M5" s="8">
        <v>-808.44</v>
      </c>
      <c r="N5" s="8">
        <v>0</v>
      </c>
      <c r="O5" s="10">
        <v>13775.960000000001</v>
      </c>
    </row>
    <row r="6" spans="1:15" ht="18" customHeight="1">
      <c r="A6" s="9" t="s">
        <v>17</v>
      </c>
      <c r="B6" s="8">
        <v>0</v>
      </c>
      <c r="C6" s="8">
        <v>11246</v>
      </c>
      <c r="D6" s="8">
        <v>8996.8000000000011</v>
      </c>
      <c r="E6" s="8">
        <v>0</v>
      </c>
      <c r="F6" s="8">
        <v>0</v>
      </c>
      <c r="G6" s="8"/>
      <c r="H6" s="8">
        <v>-112.55</v>
      </c>
      <c r="I6" s="8">
        <v>-21</v>
      </c>
      <c r="J6" s="8">
        <v>-450.18</v>
      </c>
      <c r="K6" s="8">
        <v>-1800.72</v>
      </c>
      <c r="L6" s="8">
        <v>-2701</v>
      </c>
      <c r="M6" s="8">
        <v>-715.73</v>
      </c>
      <c r="N6" s="8">
        <v>0</v>
      </c>
      <c r="O6" s="10">
        <v>14441.620000000003</v>
      </c>
    </row>
    <row r="7" spans="1:15" ht="18" customHeight="1">
      <c r="A7" s="9" t="s">
        <v>18</v>
      </c>
      <c r="B7" s="8">
        <v>0</v>
      </c>
      <c r="C7" s="8">
        <v>6250</v>
      </c>
      <c r="D7" s="8">
        <v>5500.0000000000009</v>
      </c>
      <c r="E7" s="8">
        <v>0</v>
      </c>
      <c r="F7" s="8">
        <v>0</v>
      </c>
      <c r="G7" s="8"/>
      <c r="H7" s="8">
        <v>-411.51</v>
      </c>
      <c r="I7" s="8">
        <v>-21</v>
      </c>
      <c r="J7" s="8">
        <v>-1646.04</v>
      </c>
      <c r="K7" s="8">
        <v>-6584.16</v>
      </c>
      <c r="L7" s="8">
        <v>-3343</v>
      </c>
      <c r="M7" s="8">
        <v>0</v>
      </c>
      <c r="N7" s="8">
        <v>-255.71</v>
      </c>
      <c r="O7" s="10">
        <v>8.8107299234252423E-13</v>
      </c>
    </row>
    <row r="8" spans="1:15" ht="18" customHeight="1">
      <c r="A8" s="9" t="s">
        <v>17</v>
      </c>
      <c r="B8" s="8">
        <v>0</v>
      </c>
      <c r="C8" s="8">
        <v>12500</v>
      </c>
      <c r="D8" s="8">
        <v>10000</v>
      </c>
      <c r="E8" s="8">
        <v>0</v>
      </c>
      <c r="F8" s="8">
        <v>0</v>
      </c>
      <c r="G8" s="8"/>
      <c r="H8" s="8">
        <v>-125.51</v>
      </c>
      <c r="I8" s="8">
        <v>-21</v>
      </c>
      <c r="J8" s="8">
        <v>-502.02</v>
      </c>
      <c r="K8" s="8">
        <v>-2008.08</v>
      </c>
      <c r="L8" s="8">
        <v>-3012</v>
      </c>
      <c r="M8" s="8">
        <v>-883.14</v>
      </c>
      <c r="N8" s="8">
        <v>0</v>
      </c>
      <c r="O8" s="10">
        <v>15948.25</v>
      </c>
    </row>
    <row r="9" spans="1:15" ht="18" customHeight="1">
      <c r="A9" s="9" t="s">
        <v>17</v>
      </c>
      <c r="B9" s="8">
        <v>0</v>
      </c>
      <c r="C9" s="8">
        <v>9494</v>
      </c>
      <c r="D9" s="8">
        <v>7595.2000000000007</v>
      </c>
      <c r="E9" s="8">
        <v>0</v>
      </c>
      <c r="F9" s="8">
        <v>0</v>
      </c>
      <c r="G9" s="8"/>
      <c r="H9" s="8">
        <v>-95.03</v>
      </c>
      <c r="I9" s="8">
        <v>-21</v>
      </c>
      <c r="J9" s="8">
        <v>-380.1</v>
      </c>
      <c r="K9" s="8">
        <v>-1520.4</v>
      </c>
      <c r="L9" s="8">
        <v>-2281</v>
      </c>
      <c r="M9" s="8">
        <v>-38.75</v>
      </c>
      <c r="N9" s="8">
        <v>0</v>
      </c>
      <c r="O9" s="10">
        <v>12752.920000000004</v>
      </c>
    </row>
    <row r="10" spans="1:15" ht="18" customHeight="1">
      <c r="A10" s="9" t="s">
        <v>17</v>
      </c>
      <c r="B10" s="8">
        <v>0</v>
      </c>
      <c r="C10" s="8">
        <v>11870.5</v>
      </c>
      <c r="D10" s="8">
        <v>9496.4</v>
      </c>
      <c r="E10" s="8">
        <v>0</v>
      </c>
      <c r="F10" s="8">
        <v>0</v>
      </c>
      <c r="G10" s="8"/>
      <c r="H10" s="8">
        <v>-118.79</v>
      </c>
      <c r="I10" s="8">
        <v>-21</v>
      </c>
      <c r="J10" s="8">
        <v>-475.16</v>
      </c>
      <c r="K10" s="8">
        <v>-1900.64</v>
      </c>
      <c r="L10" s="8">
        <v>-2851</v>
      </c>
      <c r="M10" s="8">
        <v>-700.03</v>
      </c>
      <c r="N10" s="8">
        <v>0</v>
      </c>
      <c r="O10" s="10">
        <v>15300.28</v>
      </c>
    </row>
    <row r="11" spans="1:15" ht="18" customHeight="1">
      <c r="A11" s="9" t="s">
        <v>17</v>
      </c>
      <c r="B11" s="8">
        <v>0</v>
      </c>
      <c r="C11" s="8">
        <v>11500</v>
      </c>
      <c r="D11" s="8">
        <v>9200</v>
      </c>
      <c r="E11" s="8">
        <v>0</v>
      </c>
      <c r="F11" s="8">
        <v>0</v>
      </c>
      <c r="G11" s="8"/>
      <c r="H11" s="8">
        <v>-115.97</v>
      </c>
      <c r="I11" s="8">
        <v>-21</v>
      </c>
      <c r="J11" s="8">
        <v>-463.86</v>
      </c>
      <c r="K11" s="8">
        <v>-1855.44</v>
      </c>
      <c r="L11" s="8">
        <v>-2783</v>
      </c>
      <c r="M11" s="8">
        <v>-596.07000000000005</v>
      </c>
      <c r="N11" s="8">
        <v>0</v>
      </c>
      <c r="O11" s="10">
        <v>14864.66</v>
      </c>
    </row>
    <row r="12" spans="1:15" ht="18" customHeight="1">
      <c r="A12" s="9" t="s">
        <v>17</v>
      </c>
      <c r="B12" s="8">
        <v>0</v>
      </c>
      <c r="C12" s="8">
        <v>10600</v>
      </c>
      <c r="D12" s="8">
        <v>8480</v>
      </c>
      <c r="E12" s="8">
        <v>0</v>
      </c>
      <c r="F12" s="8">
        <v>0</v>
      </c>
      <c r="G12" s="8"/>
      <c r="H12" s="8">
        <v>-128.1</v>
      </c>
      <c r="I12" s="8">
        <v>-21</v>
      </c>
      <c r="J12" s="8">
        <v>-512.4</v>
      </c>
      <c r="K12" s="8">
        <v>-2049.6</v>
      </c>
      <c r="L12" s="8">
        <v>-3343</v>
      </c>
      <c r="M12" s="8">
        <v>-702.59</v>
      </c>
      <c r="N12" s="8">
        <v>0</v>
      </c>
      <c r="O12" s="10">
        <v>12323.31</v>
      </c>
    </row>
    <row r="13" spans="1:15" ht="18" customHeight="1">
      <c r="A13" s="9" t="s">
        <v>19</v>
      </c>
      <c r="B13" s="8">
        <v>0</v>
      </c>
      <c r="C13" s="8">
        <v>4250</v>
      </c>
      <c r="D13" s="8">
        <v>4080</v>
      </c>
      <c r="E13" s="8">
        <v>0</v>
      </c>
      <c r="F13" s="8">
        <v>0</v>
      </c>
      <c r="G13" s="8"/>
      <c r="H13" s="8">
        <v>-42.5</v>
      </c>
      <c r="I13" s="8">
        <v>-21</v>
      </c>
      <c r="J13" s="8">
        <v>-170</v>
      </c>
      <c r="K13" s="8">
        <v>-680</v>
      </c>
      <c r="L13" s="8">
        <v>-1020</v>
      </c>
      <c r="M13" s="8">
        <v>-41.89</v>
      </c>
      <c r="N13" s="8">
        <v>0</v>
      </c>
      <c r="O13" s="10">
        <v>6354.61</v>
      </c>
    </row>
    <row r="14" spans="1:15" ht="18" customHeight="1">
      <c r="A14" s="9" t="s">
        <v>17</v>
      </c>
      <c r="B14" s="8">
        <v>0</v>
      </c>
      <c r="C14" s="8">
        <v>12500</v>
      </c>
      <c r="D14" s="8">
        <v>10000</v>
      </c>
      <c r="E14" s="8">
        <v>0</v>
      </c>
      <c r="F14" s="8">
        <v>0</v>
      </c>
      <c r="G14" s="8"/>
      <c r="H14" s="8">
        <v>-125</v>
      </c>
      <c r="I14" s="8">
        <v>-21</v>
      </c>
      <c r="J14" s="8">
        <v>-500</v>
      </c>
      <c r="K14" s="8">
        <v>-2000</v>
      </c>
      <c r="L14" s="8">
        <v>-3000</v>
      </c>
      <c r="M14" s="8">
        <v>-1185.4000000000001</v>
      </c>
      <c r="N14" s="8">
        <v>0</v>
      </c>
      <c r="O14" s="10">
        <v>15668.6</v>
      </c>
    </row>
    <row r="15" spans="1:15" ht="18" customHeight="1">
      <c r="A15" s="9" t="s">
        <v>17</v>
      </c>
      <c r="B15" s="8">
        <v>0</v>
      </c>
      <c r="C15" s="8">
        <v>7500</v>
      </c>
      <c r="D15" s="8">
        <v>6000</v>
      </c>
      <c r="E15" s="8">
        <v>0</v>
      </c>
      <c r="F15" s="8">
        <v>0</v>
      </c>
      <c r="G15" s="8"/>
      <c r="H15" s="8">
        <v>-75</v>
      </c>
      <c r="I15" s="8">
        <v>-21</v>
      </c>
      <c r="J15" s="8">
        <v>-300</v>
      </c>
      <c r="K15" s="8">
        <v>-1200</v>
      </c>
      <c r="L15" s="8">
        <v>-1800</v>
      </c>
      <c r="M15" s="8">
        <v>-153.12</v>
      </c>
      <c r="N15" s="8">
        <v>0</v>
      </c>
      <c r="O15" s="10">
        <v>9950.8799999999992</v>
      </c>
    </row>
    <row r="16" spans="1:15" ht="18" customHeight="1">
      <c r="A16" s="9" t="s">
        <v>17</v>
      </c>
      <c r="B16" s="8">
        <v>0</v>
      </c>
      <c r="C16" s="8">
        <v>12345.5</v>
      </c>
      <c r="D16" s="8">
        <v>8782.4</v>
      </c>
      <c r="E16" s="8">
        <v>0</v>
      </c>
      <c r="F16" s="8">
        <v>0</v>
      </c>
      <c r="G16" s="8">
        <v>-1372</v>
      </c>
      <c r="H16" s="8">
        <v>-123.46</v>
      </c>
      <c r="I16" s="8">
        <v>-21</v>
      </c>
      <c r="J16" s="8">
        <v>-493.82</v>
      </c>
      <c r="K16" s="8">
        <v>-1975.28</v>
      </c>
      <c r="L16" s="8">
        <v>-2963</v>
      </c>
      <c r="M16" s="8">
        <v>-275.38</v>
      </c>
      <c r="N16" s="8">
        <v>0</v>
      </c>
      <c r="O16" s="10">
        <v>13903.960000000005</v>
      </c>
    </row>
    <row r="17" spans="1:15" ht="17.25" customHeight="1">
      <c r="A17" s="13" t="s">
        <v>23</v>
      </c>
      <c r="B17" s="11">
        <v>27083</v>
      </c>
      <c r="C17" s="11">
        <v>120877.5</v>
      </c>
      <c r="D17" s="11">
        <v>96788</v>
      </c>
      <c r="E17" s="11">
        <v>3200</v>
      </c>
      <c r="F17" s="11">
        <v>500</v>
      </c>
      <c r="G17" s="11">
        <v>-1372</v>
      </c>
      <c r="H17" s="11">
        <v>-1709.82</v>
      </c>
      <c r="I17" s="11">
        <v>-273</v>
      </c>
      <c r="J17" s="11">
        <v>-6839.1799999999985</v>
      </c>
      <c r="K17" s="11">
        <v>-27356.719999999994</v>
      </c>
      <c r="L17" s="11">
        <v>-35039</v>
      </c>
      <c r="M17" s="11">
        <v>-10907.769999999999</v>
      </c>
      <c r="N17" s="11">
        <v>-255.71</v>
      </c>
      <c r="O17" s="11">
        <v>165206.72</v>
      </c>
    </row>
    <row r="19" spans="1:15" ht="16">
      <c r="G19" s="20"/>
      <c r="H19" s="20"/>
      <c r="N19" s="12"/>
      <c r="O19" s="1"/>
    </row>
    <row r="20" spans="1:15">
      <c r="N20" s="12"/>
      <c r="O20" s="1"/>
    </row>
    <row r="21" spans="1:15">
      <c r="N21" s="12"/>
      <c r="O21" s="1"/>
    </row>
    <row r="22" spans="1:15">
      <c r="N22" s="12"/>
      <c r="O22" s="1"/>
    </row>
  </sheetData>
  <mergeCells count="1">
    <mergeCell ref="G19:H19"/>
  </mergeCells>
  <phoneticPr fontId="4" type="noConversion"/>
  <pageMargins left="0.31496062992126" right="0.196850393700787" top="0.74803149606299202" bottom="0.74803149606299202" header="0.31496062992126" footer="0.31496062992126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1C4C0DF-E98A-48DE-B0CB-5D45BE776F62}"/>
</file>

<file path=customXml/itemProps2.xml><?xml version="1.0" encoding="utf-8"?>
<ds:datastoreItem xmlns:ds="http://schemas.openxmlformats.org/officeDocument/2006/customXml" ds:itemID="{909931DF-D46E-4115-AF51-D2E79A406B97}"/>
</file>

<file path=customXml/itemProps3.xml><?xml version="1.0" encoding="utf-8"?>
<ds:datastoreItem xmlns:ds="http://schemas.openxmlformats.org/officeDocument/2006/customXml" ds:itemID="{6B454EEF-E692-40A2-B490-80114BD502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1月</vt:lpstr>
      <vt:lpstr>2月</vt:lpstr>
      <vt:lpstr>3月</vt:lpstr>
      <vt:lpstr>4月</vt:lpstr>
      <vt:lpstr>5月</vt:lpstr>
      <vt:lpstr>6月</vt:lpstr>
      <vt:lpstr>7月</vt:lpstr>
      <vt:lpstr>8月</vt:lpstr>
      <vt:lpstr>9月</vt:lpstr>
      <vt:lpstr>10月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中远海运天津公司</dc:creator>
  <cp:lastModifiedBy>陈冠宙</cp:lastModifiedBy>
  <dcterms:created xsi:type="dcterms:W3CDTF">2025-11-28T08:15:56Z</dcterms:created>
  <dcterms:modified xsi:type="dcterms:W3CDTF">2026-02-05T08:52:50Z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
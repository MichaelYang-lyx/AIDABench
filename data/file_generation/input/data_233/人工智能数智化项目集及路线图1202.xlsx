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AI项目集" sheetId="1" r:id="rId1"/>
    <sheet name="项目卡片示例（新增）" sheetId="10" r:id="rId2"/>
    <sheet name="项目分布图（思维导图）" sheetId="11" r:id="rId3"/>
    <sheet name="项目路线图（甘特图）" sheetId="12" r:id="rId4"/>
    <sheet name="项目优先级评分表" sheetId="2" r:id="rId5"/>
    <sheet name="启动时间点分配规则" sheetId="5" r:id="rId6"/>
    <sheet name="实施周期对照表" sheetId="6" r:id="rId7"/>
    <sheet name="预算规则" sheetId="3" r:id="rId8"/>
    <sheet name="表述规范" sheetId="4" r:id="rId9"/>
    <sheet name="项目优先级评分结果" sheetId="7" r:id="rId10"/>
    <sheet name="预算明细" sheetId="9" r:id="rId11"/>
  </sheets>
  <definedNames>
    <definedName name="_xlnm._FilterDatabase" localSheetId="0" hidden="1">AI项目集!$B$1:$R$119</definedName>
    <definedName name="_xlnm._FilterDatabase" localSheetId="9" hidden="1">项目优先级评分结果!$A$1:$M$132</definedName>
    <definedName name="_xlnm._FilterDatabase" localSheetId="10" hidden="1">预算明细!$A$1:$J$119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86138</author>
    <author>xodxi</author>
  </authors>
  <commentList>
    <comment ref="D1" authorId="0">
      <text>
        <r>
          <rPr>
            <b/>
            <sz val="9"/>
            <rFont val="宋体"/>
            <charset val="134"/>
          </rPr>
          <t>86138:</t>
        </r>
        <r>
          <rPr>
            <sz val="9"/>
            <rFont val="宋体"/>
            <charset val="134"/>
          </rPr>
          <t xml:space="preserve">
采购配置，第一位数字为1；定制开发，第一位数字为0。
第二、三位数字代表序号。</t>
        </r>
      </text>
    </comment>
    <comment ref="C17" authorId="1">
      <text>
        <r>
          <rPr>
            <b/>
            <sz val="9"/>
            <rFont val="宋体"/>
            <charset val="134"/>
          </rPr>
          <t>xodxi:</t>
        </r>
        <r>
          <rPr>
            <sz val="9"/>
            <rFont val="宋体"/>
            <charset val="134"/>
          </rPr>
          <t xml:space="preserve">
优先级提前（主观要求，非客观评估决策）</t>
        </r>
      </text>
    </comment>
    <comment ref="C18" authorId="1">
      <text>
        <r>
          <rPr>
            <b/>
            <sz val="9"/>
            <rFont val="宋体"/>
            <charset val="134"/>
          </rPr>
          <t>xodxi:</t>
        </r>
        <r>
          <rPr>
            <sz val="9"/>
            <rFont val="宋体"/>
            <charset val="134"/>
          </rPr>
          <t xml:space="preserve">
先导入供应商端的功能</t>
        </r>
      </text>
    </comment>
    <comment ref="C23" authorId="1">
      <text>
        <r>
          <rPr>
            <b/>
            <sz val="9"/>
            <rFont val="宋体"/>
            <charset val="134"/>
          </rPr>
          <t>xodxi:</t>
        </r>
        <r>
          <rPr>
            <sz val="9"/>
            <rFont val="宋体"/>
            <charset val="134"/>
          </rPr>
          <t xml:space="preserve">
优先级提前，主观调整</t>
        </r>
      </text>
    </comment>
    <comment ref="C28" authorId="1">
      <text>
        <r>
          <rPr>
            <b/>
            <sz val="9"/>
            <rFont val="宋体"/>
            <charset val="134"/>
          </rPr>
          <t>xodxi:</t>
        </r>
        <r>
          <rPr>
            <sz val="9"/>
            <rFont val="宋体"/>
            <charset val="134"/>
          </rPr>
          <t xml:space="preserve">
优先级提前</t>
        </r>
      </text>
    </comment>
    <comment ref="C29" authorId="1">
      <text>
        <r>
          <rPr>
            <b/>
            <sz val="9"/>
            <rFont val="宋体"/>
            <charset val="134"/>
          </rPr>
          <t>xodxi:</t>
        </r>
        <r>
          <rPr>
            <sz val="9"/>
            <rFont val="宋体"/>
            <charset val="134"/>
          </rPr>
          <t xml:space="preserve">
暂时不实施</t>
        </r>
      </text>
    </comment>
    <comment ref="C47" authorId="1">
      <text>
        <r>
          <rPr>
            <b/>
            <sz val="9"/>
            <rFont val="宋体"/>
            <charset val="134"/>
          </rPr>
          <t>xodxi:</t>
        </r>
        <r>
          <rPr>
            <sz val="9"/>
            <rFont val="宋体"/>
            <charset val="134"/>
          </rPr>
          <t xml:space="preserve">
优先级提升</t>
        </r>
      </text>
    </comment>
    <comment ref="C49" authorId="1">
      <text>
        <r>
          <rPr>
            <b/>
            <sz val="9"/>
            <rFont val="宋体"/>
            <charset val="134"/>
          </rPr>
          <t>xodxi:</t>
        </r>
        <r>
          <rPr>
            <sz val="9"/>
            <rFont val="宋体"/>
            <charset val="134"/>
          </rPr>
          <t xml:space="preserve">
优先级提升</t>
        </r>
      </text>
    </comment>
    <comment ref="C60" authorId="1">
      <text>
        <r>
          <rPr>
            <b/>
            <sz val="9"/>
            <rFont val="宋体"/>
            <charset val="134"/>
          </rPr>
          <t>xodxi:</t>
        </r>
        <r>
          <rPr>
            <sz val="9"/>
            <rFont val="宋体"/>
            <charset val="134"/>
          </rPr>
          <t xml:space="preserve">
优先级提升</t>
        </r>
      </text>
    </comment>
    <comment ref="C64" authorId="1">
      <text>
        <r>
          <rPr>
            <b/>
            <sz val="9"/>
            <rFont val="宋体"/>
            <charset val="134"/>
          </rPr>
          <t>xodxi:</t>
        </r>
        <r>
          <rPr>
            <sz val="9"/>
            <rFont val="宋体"/>
            <charset val="134"/>
          </rPr>
          <t xml:space="preserve">
聚焦DTP</t>
        </r>
      </text>
    </comment>
    <comment ref="C69" authorId="1">
      <text>
        <r>
          <rPr>
            <b/>
            <sz val="9"/>
            <rFont val="宋体"/>
            <charset val="134"/>
          </rPr>
          <t>xodxi:</t>
        </r>
        <r>
          <rPr>
            <sz val="9"/>
            <rFont val="宋体"/>
            <charset val="134"/>
          </rPr>
          <t xml:space="preserve">
DTP+慢病</t>
        </r>
      </text>
    </comment>
    <comment ref="C82" authorId="1">
      <text>
        <r>
          <rPr>
            <b/>
            <sz val="9"/>
            <rFont val="宋体"/>
            <charset val="134"/>
          </rPr>
          <t>xodxi:</t>
        </r>
        <r>
          <rPr>
            <sz val="9"/>
            <rFont val="宋体"/>
            <charset val="134"/>
          </rPr>
          <t xml:space="preserve">
暂不实施，江苏平台已实现</t>
        </r>
      </text>
    </comment>
    <comment ref="C86" authorId="1">
      <text>
        <r>
          <rPr>
            <b/>
            <sz val="9"/>
            <rFont val="宋体"/>
            <charset val="134"/>
          </rPr>
          <t>xodxi:</t>
        </r>
        <r>
          <rPr>
            <sz val="9"/>
            <rFont val="宋体"/>
            <charset val="134"/>
          </rPr>
          <t xml:space="preserve">
财务共享是前提，目前暂时不好实施</t>
        </r>
      </text>
    </comment>
    <comment ref="C87" authorId="0">
      <text>
        <r>
          <rPr>
            <b/>
            <sz val="9"/>
            <rFont val="宋体"/>
            <charset val="134"/>
          </rPr>
          <t>86138:</t>
        </r>
        <r>
          <rPr>
            <sz val="9"/>
            <rFont val="宋体"/>
            <charset val="134"/>
          </rPr>
          <t xml:space="preserve">
</t>
        </r>
      </text>
    </comment>
    <comment ref="C91" authorId="1">
      <text>
        <r>
          <rPr>
            <b/>
            <sz val="9"/>
            <rFont val="宋体"/>
            <charset val="134"/>
          </rPr>
          <t>xodxi:</t>
        </r>
        <r>
          <rPr>
            <sz val="9"/>
            <rFont val="宋体"/>
            <charset val="134"/>
          </rPr>
          <t xml:space="preserve">
待沟通确认</t>
        </r>
      </text>
    </comment>
    <comment ref="C95" authorId="1">
      <text>
        <r>
          <rPr>
            <b/>
            <sz val="9"/>
            <rFont val="宋体"/>
            <charset val="134"/>
          </rPr>
          <t>xodxi:</t>
        </r>
        <r>
          <rPr>
            <sz val="9"/>
            <rFont val="宋体"/>
            <charset val="134"/>
          </rPr>
          <t xml:space="preserve">
优先级延后</t>
        </r>
      </text>
    </comment>
    <comment ref="C100" authorId="1">
      <text>
        <r>
          <rPr>
            <b/>
            <sz val="9"/>
            <rFont val="宋体"/>
            <charset val="134"/>
          </rPr>
          <t>xodxi:</t>
        </r>
        <r>
          <rPr>
            <sz val="9"/>
            <rFont val="宋体"/>
            <charset val="134"/>
          </rPr>
          <t xml:space="preserve">
优先级提升</t>
        </r>
      </text>
    </comment>
    <comment ref="C102" authorId="1">
      <text>
        <r>
          <rPr>
            <b/>
            <sz val="9"/>
            <rFont val="宋体"/>
            <charset val="134"/>
          </rPr>
          <t>xodxi:</t>
        </r>
        <r>
          <rPr>
            <sz val="9"/>
            <rFont val="宋体"/>
            <charset val="134"/>
          </rPr>
          <t xml:space="preserve">
与014合并</t>
        </r>
      </text>
    </comment>
    <comment ref="C109" authorId="1">
      <text>
        <r>
          <rPr>
            <b/>
            <sz val="9"/>
            <rFont val="宋体"/>
            <charset val="134"/>
          </rPr>
          <t>xodxi:</t>
        </r>
        <r>
          <rPr>
            <sz val="9"/>
            <rFont val="宋体"/>
            <charset val="134"/>
          </rPr>
          <t xml:space="preserve">
优先级高</t>
        </r>
      </text>
    </comment>
    <comment ref="C110" authorId="1">
      <text>
        <r>
          <rPr>
            <b/>
            <sz val="9"/>
            <rFont val="宋体"/>
            <charset val="134"/>
          </rPr>
          <t>xodxi:</t>
        </r>
        <r>
          <rPr>
            <sz val="9"/>
            <rFont val="宋体"/>
            <charset val="134"/>
          </rPr>
          <t xml:space="preserve">
与OM020重叠，江苏平台已有系统支持，及初步模型，优先级提升</t>
        </r>
      </text>
    </comment>
    <comment ref="C111" authorId="1">
      <text>
        <r>
          <rPr>
            <b/>
            <sz val="9"/>
            <rFont val="宋体"/>
            <charset val="134"/>
          </rPr>
          <t>xodxi:</t>
        </r>
        <r>
          <rPr>
            <sz val="9"/>
            <rFont val="宋体"/>
            <charset val="134"/>
          </rPr>
          <t xml:space="preserve">
前期项目以暂停实施</t>
        </r>
      </text>
    </comment>
    <comment ref="C116" authorId="0">
      <text>
        <r>
          <rPr>
            <b/>
            <sz val="9"/>
            <rFont val="宋体"/>
            <charset val="134"/>
          </rPr>
          <t>86138:</t>
        </r>
        <r>
          <rPr>
            <sz val="9"/>
            <rFont val="宋体"/>
            <charset val="134"/>
          </rPr>
          <t xml:space="preserve">
86138:
合并[合同关键要素提取智能体][采购合同生成智能体][合同风险审查智能体][合同续约提醒与管理智能体]，预算共110万
</t>
        </r>
      </text>
    </comment>
  </commentList>
</comments>
</file>

<file path=xl/comments2.xml><?xml version="1.0" encoding="utf-8"?>
<comments xmlns="http://schemas.openxmlformats.org/spreadsheetml/2006/main">
  <authors>
    <author>86138</author>
  </authors>
  <commentList>
    <comment ref="B4" authorId="0">
      <text>
        <r>
          <rPr>
            <b/>
            <sz val="9"/>
            <rFont val="宋体"/>
            <charset val="134"/>
          </rPr>
          <t>86138:</t>
        </r>
        <r>
          <rPr>
            <sz val="9"/>
            <rFont val="宋体"/>
            <charset val="134"/>
          </rPr>
          <t xml:space="preserve">
暂不采用，定量表述需要依据。</t>
        </r>
      </text>
    </comment>
  </commentList>
</comments>
</file>

<file path=xl/sharedStrings.xml><?xml version="1.0" encoding="utf-8"?>
<sst xmlns="http://schemas.openxmlformats.org/spreadsheetml/2006/main" count="2979" uniqueCount="1290">
  <si>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</si>
  <si>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</si>
  <si>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</si>
  <si>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</si>
  <si>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</si>
  <si>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</si>
  <si>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</si>
  <si>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</si>
  <si>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</si>
  <si>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</si>
  <si>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</si>
  <si>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</si>
  <si>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</si>
  <si>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</si>
  <si>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</si>
  <si>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</si>
  <si>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</si>
  <si>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</si>
  <si>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</si>
  <si>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</si>
  <si>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</si>
  <si>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</si>
  <si>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</si>
  <si>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</si>
  <si>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</si>
  <si>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</si>
  <si>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2026Q1</t>
  </si>
  <si>
    <t>依赖主数据治理；供应商准入审核智能体 (GYL101) (2026Q1) → 首营资料智能审查智能体 (GYL110) (2026Q3) → 供应商风险预警智能体 (GYL004) (2027Q1) → 供应商绩效智能评估智能体 (GYL012) (2027Q4)</t>
  </si>
  <si>
    <t>1.数据基础：公司内部供应商主数据治理已完成，关键字段完整率达95%以上，且具备稳定接入国家药监局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</si>
  <si>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</si>
  <si>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</si>
  <si>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</si>
  <si>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</si>
  <si>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</si>
  <si>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</si>
  <si>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r>
      <rPr>
        <sz val="14"/>
        <color theme="1"/>
        <rFont val="微软雅黑"/>
        <charset val="134"/>
      </rPr>
      <t>药品</t>
    </r>
    <r>
      <rPr>
        <sz val="14"/>
        <color rgb="FFFF0000"/>
        <rFont val="微软雅黑"/>
        <charset val="134"/>
      </rPr>
      <t>动态</t>
    </r>
    <r>
      <rPr>
        <sz val="14"/>
        <color theme="1"/>
        <rFont val="微软雅黑"/>
        <charset val="134"/>
      </rPr>
      <t>安全库存智能计算智能体</t>
    </r>
  </si>
  <si>
    <t>GYL002</t>
  </si>
  <si>
    <t>1.智能整合历史销售、季节、政策等多维度数据，为精准计算库存阈值提供依据。2.动态计算各区域与品类药品的安全库存水平，以平衡缺货与积压风险。3.实时预警库存异常情况（过高/过低），并自动推送至对应业务人员以便及时干预。</t>
  </si>
  <si>
    <t>定制开发</t>
  </si>
  <si>
    <t>2026Q4</t>
  </si>
  <si>
    <t>药品动态安全库存智能计算智能体 (GYL002) (2026Q4) → 批发业务需求预测智能体 (GYL003) (2026Q4) → 药品补货决策智能体 (GYL017) (2028Q1)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</si>
  <si>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</si>
  <si>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</si>
  <si>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</si>
  <si>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</si>
  <si>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</si>
  <si>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部门共同明确各品类药品的服务水平目标与库存策略，定义缺货与积压风险阈值。2.数据准备与知识建模：整合历史销售、季节、政策等多维度数据，完成数据清洗与特征工程，构建训练数据集。3.核心模块开发与验证：开发安全库存动态计算模型与预警模块，选择代表性区域和品类进行离线测试与参数调优。4.系统集成与试点上线：将模型集成至WMS/ERP系统，在2个区域仓库进行试点，对比试点前后库存指标变化。5.推广运营与持续优化：推广至所有仓库，监控库存周转率与缺货率，根据销售趋势变化定期重构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</si>
  <si>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</si>
  <si>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</si>
  <si>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</si>
  <si>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</si>
  <si>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</si>
  <si>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</si>
  <si>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</si>
  <si>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</si>
  <si>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</si>
  <si>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</si>
  <si>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</si>
  <si>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r>
      <rPr>
        <sz val="14"/>
        <color theme="1"/>
        <rFont val="微软雅黑"/>
        <charset val="134"/>
      </rPr>
      <t xml:space="preserve">1.实时监控供应商外部经营动态（如诉讼、行政处罚），全面捕捉潜在风险。2.智能计算供应商综合风险评分，结合内外部数据评估其合作稳定性。3.自动推送高风险供应商预警至相关部门，提示暂停合作或调整采购策略。
</t>
    </r>
    <r>
      <rPr>
        <sz val="14"/>
        <color rgb="FFFF0000"/>
        <rFont val="微软雅黑"/>
        <charset val="134"/>
      </rPr>
      <t>统一法人，既是供应商又是客户，高风险；数据共享机制等</t>
    </r>
  </si>
  <si>
    <t>2027Q2</t>
  </si>
  <si>
    <t>供应商准入审核智能体 (GYL101) (2026Q1) → 首营资料智能审查智能体 (GYL110) (2026Q3) → 供应商风险预警智能体 (GYL004) (2027Q1) → 供应商绩效智能评估智能体 (GYL012) (2027Q4)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</si>
  <si>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</si>
  <si>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</si>
  <si>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</si>
  <si>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</si>
  <si>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</si>
  <si>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</si>
  <si>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</si>
  <si>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</si>
  <si>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</si>
  <si>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2027Q4</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</si>
  <si>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</si>
  <si>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</si>
  <si>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</si>
  <si>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</si>
  <si>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</si>
  <si>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</si>
  <si>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</si>
  <si>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</si>
  <si>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</si>
  <si>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</si>
  <si>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</si>
  <si>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</si>
  <si>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</si>
  <si>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</si>
  <si>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</si>
  <si>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</si>
  <si>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</si>
  <si>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</si>
  <si>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</si>
  <si>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</si>
  <si>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</si>
  <si>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2026Q2</t>
  </si>
  <si>
    <t>医药行业政策解读智能体 (GYL007) (2026Q2) → 集采品种合规管理智能体 (GYL031) (2026Q4) → 医保政策影响分析智能体 (GYL032) (2026Q4)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</si>
  <si>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</si>
  <si>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</si>
  <si>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</si>
  <si>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</si>
  <si>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</si>
  <si>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</si>
  <si>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</si>
  <si>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</si>
  <si>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</si>
  <si>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</si>
  <si>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 (WL009) (2027Q2) 和 车辆运输安全智能体 (WL006) (2027Q3)应协同实施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</si>
  <si>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</si>
  <si>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</si>
  <si>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</si>
  <si>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</si>
  <si>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</si>
  <si>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</si>
  <si>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</si>
  <si>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</si>
  <si>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</si>
  <si>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 xml:space="preserve">药品全链条质量追溯智能体 (GYL109) (2026Q1) → GSP飞检自查智能体 (GYL018) (2026Q2)→ 药品召回管理智能体 (GYL014) (2027Q2) </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</si>
  <si>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</si>
  <si>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</si>
  <si>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</si>
  <si>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</si>
  <si>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</si>
  <si>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</si>
  <si>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</si>
  <si>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</si>
  <si>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</si>
  <si>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</si>
  <si>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</si>
  <si>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</si>
  <si>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</si>
  <si>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药品分类管理智能体</t>
  </si>
  <si>
    <t>GYL011</t>
  </si>
  <si>
    <t>1.自动完成药品品类分类，基于国家编码、适应症等规则确保分类准确统一。2.智能分析分子公司采购分散度，生成区域库存调配方案以优化库存结构。3.一站式处理新增品种审核，自动完成信息提取与规则校验，仅推送高风险项人工复核。</t>
  </si>
  <si>
    <t>1.数据基础：公司经营的SKU基础信息（药品名称、成分、规格）完整准确，国家药品编码已普及应用。2.技术储备：具备基于规则引擎或简单分类模型的自动化处理能力，技术方案已通过评审。3.组织与流程：商品部或品类管理部门已制定清晰的品类划分与角色定义规则。4.战略与资源：项目是进行精细化运营的数据基础，与公司品类优化战略相符，资源已就位。</t>
  </si>
  <si>
    <t>1.实现数据的智能标签化和精准分类，提升数据管理水平。2.支持精准的业务分析和决策制定。3.减少数据处理和分析的人工投入。</t>
  </si>
  <si>
    <t>机器学习，自然语言处理（NLP）</t>
  </si>
  <si>
    <t>内部数据：ERP系统：SKU基础信息（药品名称、成分、规格）。WMS系统：各分子公司库存与采购数据。外部数据：国家药品编码数据库：官方药品分类与编码。国家医疗保障局：医保目录与报销分类。</t>
  </si>
  <si>
    <t>1.需求分析与方案设计：与商品部明确分类维度（治疗领域、医保、品类角色等）与分类规则来源。2.数据准备与知识建模：整合国家药品编码、医保目录等内外部数据，构建分类标签体系。3.核心模块开发与验证：开发基于规则与模型的自动分类器，并对分类结果进行大规模人工抽样校验。4.系统集成与试点上线：将自动分类结果写入商品主数据，并选择新增品种流程试点应用。5.推广运营与持续优化：全量商品库应用，处理分类争议案例，定期跟随官方目录更新分类规则。</t>
  </si>
  <si>
    <t>华为云应用了基于深度学习的药品分类编码映射系统。该系统能够使用自然语言处理和深度神经网络将药品信息自动映射到ATC等标准分类编码。实现了药品分类的标准化和自动化。（信息来源：https://bbs.huaweicloud.com/blogs/446528）</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</si>
  <si>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</si>
  <si>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</si>
  <si>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</si>
  <si>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</si>
  <si>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</si>
  <si>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</si>
  <si>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</si>
  <si>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</si>
  <si>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</si>
  <si>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</si>
  <si>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</si>
  <si>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</si>
  <si>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</si>
  <si>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</si>
  <si>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</si>
  <si>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</si>
  <si>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</si>
  <si>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</si>
  <si>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</si>
  <si>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</si>
  <si>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</si>
  <si>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</si>
  <si>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</si>
  <si>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</si>
  <si>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</si>
  <si>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</si>
  <si>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</si>
  <si>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 (GYL120)共享技术框架，可同步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</si>
  <si>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</si>
  <si>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</si>
  <si>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</si>
  <si>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</si>
  <si>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</si>
  <si>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</si>
  <si>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</si>
  <si>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</si>
  <si>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 (GYL016) (2026Q1) → 医院/药店客户精准画像智能体 (GYL026) (2028Q1) → 医院/药店客户品种推荐智能体 (GYL027) (2026Q1)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</si>
  <si>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</si>
  <si>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</si>
  <si>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</si>
  <si>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</si>
  <si>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</si>
  <si>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</si>
  <si>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智能分析门店/仓库药品销售速度、效期与周转率，精准判断补货需求。2.自动生成补货建议（品种、数量、时间），并关联安全库存阈值。3.优先推荐滞销品或近效期药品的清理方案，助力优化库存结构。（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</si>
  <si>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</si>
  <si>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</si>
  <si>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</si>
  <si>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</si>
  <si>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门店、仓库运营团队明确补货触发条件、建议生成逻辑及紧急程度分级。2.数据准备与知识建模：获取门店销售、库存、效期等实时数据，建立补货决策特征数据集。3.核心模块开发与验证：开发补货建议算法，在历史数据上回测，验证其能有效降低缺货率并优化周转。4.系统集成与试点上线：将补货建议推送至门店及仓库管理系统，在50家门店进行试点。5.推广运营与持续优化：全部门店推广，跟踪建议采纳率与库存健康度，持续优化算法策略。</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</si>
  <si>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</si>
  <si>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</si>
  <si>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</si>
  <si>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</si>
  <si>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</si>
  <si>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</si>
  <si>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</si>
  <si>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</si>
  <si>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</si>
  <si>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</si>
  <si>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</si>
  <si>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</si>
  <si>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</si>
  <si>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</si>
  <si>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</si>
  <si>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</si>
  <si>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</si>
  <si>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</si>
  <si>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</si>
  <si>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</si>
  <si>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</si>
  <si>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 (GYL115)共享技术框架，可同步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</si>
  <si>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</si>
  <si>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</si>
  <si>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</si>
  <si>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</si>
  <si>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</si>
  <si>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</si>
  <si>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</si>
  <si>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</si>
  <si>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</si>
  <si>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</si>
  <si>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</si>
  <si>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</si>
  <si>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</si>
  <si>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</si>
  <si>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</si>
  <si>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</si>
  <si>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 (YY033)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</si>
  <si>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</si>
  <si>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</si>
  <si>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</si>
  <si>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</si>
  <si>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</si>
  <si>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</si>
  <si>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</si>
  <si>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</si>
  <si>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</si>
  <si>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</si>
  <si>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</si>
  <si>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</si>
  <si>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</si>
  <si>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</si>
  <si>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</si>
  <si>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</si>
  <si>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</si>
  <si>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r>
      <rPr>
        <sz val="14"/>
        <color theme="1"/>
        <rFont val="微软雅黑"/>
        <charset val="134"/>
      </rPr>
      <t>1.综合评估各品类健康度（销售、毛利、周转等），构建品类角色划分模型，</t>
    </r>
    <r>
      <rPr>
        <sz val="14"/>
        <color rgb="FFFF0000"/>
        <rFont val="微软雅黑"/>
        <charset val="134"/>
      </rPr>
      <t>与客户关联</t>
    </r>
    <r>
      <rPr>
        <sz val="14"/>
        <color theme="1"/>
        <rFont val="微软雅黑"/>
        <charset val="134"/>
      </rPr>
      <t>。2.深度分析动销率，识别滞销品与畅销品，优化库存资源配置。3.智能生成品类结构调整建议（如淘汰低效品、引入高潜品），并预测调整后效益。4.自动为全量SKU打上多维度标准化标签（治疗疾病、医保属性、冷链要求等），从而为搜索、推荐、分析等下游AI应用提供统一、高质量的数据基石。</t>
    </r>
  </si>
  <si>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</si>
  <si>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</si>
  <si>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</si>
  <si>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</si>
  <si>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</si>
  <si>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</si>
  <si>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</si>
  <si>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</si>
  <si>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</si>
  <si>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</si>
  <si>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</si>
  <si>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</si>
  <si>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</si>
  <si>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</si>
  <si>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</si>
  <si>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</si>
  <si>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</si>
  <si>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</si>
  <si>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</si>
  <si>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</si>
  <si>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</si>
  <si>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</si>
  <si>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</si>
  <si>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</si>
  <si>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</si>
  <si>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</si>
  <si>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</si>
  <si>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</si>
  <si>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</si>
  <si>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</si>
  <si>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</si>
  <si>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</si>
  <si>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</si>
  <si>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</si>
  <si>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</si>
  <si>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</si>
  <si>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</si>
  <si>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</si>
  <si>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</si>
  <si>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</si>
  <si>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</si>
  <si>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</si>
  <si>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</si>
  <si>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</si>
  <si>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</si>
  <si>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</si>
  <si>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</si>
  <si>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内部数据：ERP系统药品主数据、WMS仓储系统药品信息、销售系统药品档案、采购系统供应商药品目录。2.外部数据：国家药监局药品数据库、医保目录、药品说明书标准化数据。3.标注数据：人工标注的药品对码样本数据，用于模型训练和验证。</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</si>
  <si>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</si>
  <si>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</si>
  <si>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</si>
  <si>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</si>
  <si>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</si>
  <si>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</si>
  <si>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</si>
  <si>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</si>
  <si>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</si>
  <si>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外部数据：国家药监局：政策法规、审批信息。各省药械采购平台：集采政策、中标信息。行业协会：市场报告、统计数据。研究机构：行业分析报告。内部数据：ERP系统：销售数据、产品信息。CRM系统：客户反馈、市场动态。</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</si>
  <si>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</si>
  <si>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</si>
  <si>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</si>
  <si>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</si>
  <si>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 (GYL007) (2026Q2) → 集采品种合规管理智能体 (GYL031) (2026Q4) → 医保政策影响分析智能体 (GYL032) (2026Q4)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</si>
  <si>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</si>
  <si>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</si>
  <si>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</si>
  <si>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</si>
  <si>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</si>
  <si>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</si>
  <si>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</si>
  <si>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</si>
  <si>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</si>
  <si>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</si>
  <si>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</si>
  <si>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</si>
  <si>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</si>
  <si>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</si>
  <si>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</si>
  <si>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</si>
  <si>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</si>
  <si>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 (WL001) (2027Q3) → 物流全程追踪智能体 (WL009) (2027Q2) → 车辆运输安全智能体 (WL006) (2027Q3)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</si>
  <si>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</si>
  <si>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</si>
  <si>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</si>
  <si>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</si>
  <si>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</si>
  <si>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</si>
  <si>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</si>
  <si>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</si>
  <si>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</si>
  <si>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</si>
  <si>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</si>
  <si>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</si>
  <si>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</si>
  <si>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</si>
  <si>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</si>
  <si>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</si>
  <si>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 (WL014) (2026Q1) → 千线配送路由优化智能体 (WL003) (2027Q3) → 装车优化指引智能体 (WL004) (2028Q2)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</si>
  <si>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</si>
  <si>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</si>
  <si>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</si>
  <si>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r>
      <rPr>
        <sz val="14"/>
        <color theme="1"/>
        <rFont val="微软雅黑"/>
        <charset val="134"/>
      </rPr>
      <t>SCMsafe</t>
    </r>
    <r>
      <rPr>
        <sz val="12"/>
        <color rgb="FF0F1115"/>
        <rFont val="宋体"/>
        <charset val="134"/>
      </rPr>
      <t>链四方应用了</t>
    </r>
    <r>
      <rPr>
        <sz val="12"/>
        <color rgb="FF0F1115"/>
        <rFont val="Segoe UI"/>
        <charset val="134"/>
      </rPr>
      <t>AI</t>
    </r>
    <r>
      <rPr>
        <sz val="12"/>
        <color rgb="FF0F1115"/>
        <rFont val="宋体"/>
        <charset val="134"/>
      </rPr>
      <t>智能调度中枢。该系统能够整合千万级历史运输数据、区域货量密度与实时路况进行智能路径规划。实现了车辆空驶率的有效降低，并极大提升了整体配送效率与服务稳定性。（信息来源：</t>
    </r>
    <r>
      <rPr>
        <sz val="12"/>
        <color rgb="FF0F1115"/>
        <rFont val="Segoe UI"/>
        <charset val="134"/>
      </rPr>
      <t>https://developer.aliyun.com/article/1668490</t>
    </r>
    <r>
      <rPr>
        <sz val="12"/>
        <color rgb="FF0F1115"/>
        <rFont val="宋体"/>
        <charset val="134"/>
      </rPr>
      <t>）</t>
    </r>
    <r>
      <rPr>
        <sz val="12"/>
        <color rgb="FF0F1115"/>
        <rFont val="Segoe UI"/>
        <charset val="134"/>
      </rPr>
      <t xml:space="preserve">
</t>
    </r>
    <r>
      <rPr>
        <sz val="12"/>
        <color rgb="FF0F1115"/>
        <rFont val="宋体"/>
        <charset val="134"/>
      </rPr>
      <t>九州通应用了九州云仓系统。该系统能够利用</t>
    </r>
    <r>
      <rPr>
        <sz val="12"/>
        <color rgb="FF0F1115"/>
        <rFont val="Segoe UI"/>
        <charset val="134"/>
      </rPr>
      <t>AI</t>
    </r>
    <r>
      <rPr>
        <sz val="12"/>
        <color rgb="FF0F1115"/>
        <rFont val="宋体"/>
        <charset val="134"/>
      </rPr>
      <t>算法与历史配送数据建模，优化全国物流网络中的配送路径。实现了车辆空驶里程显著缩减，有效降低了物流成本。（信息来源：</t>
    </r>
    <r>
      <rPr>
        <sz val="12"/>
        <color rgb="FF0F1115"/>
        <rFont val="Segoe UI"/>
        <charset val="134"/>
      </rPr>
      <t>https://www.dxh.gov.cn/XWZX/MTBD/202001/t20200108_689407.shtml</t>
    </r>
    <r>
      <rPr>
        <sz val="12"/>
        <color rgb="FF0F1115"/>
        <rFont val="宋体"/>
        <charset val="134"/>
      </rPr>
      <t>）</t>
    </r>
  </si>
  <si>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</si>
  <si>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</si>
  <si>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</si>
  <si>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</si>
  <si>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</si>
  <si>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</si>
  <si>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</si>
  <si>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</si>
  <si>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</si>
  <si>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</si>
  <si>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</si>
  <si>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</si>
  <si>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</si>
  <si>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</si>
  <si>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</si>
  <si>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</si>
  <si>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r>
      <rPr>
        <sz val="14"/>
        <color theme="1"/>
        <rFont val="微软雅黑"/>
        <charset val="134"/>
      </rPr>
      <t>车辆运输</t>
    </r>
    <r>
      <rPr>
        <sz val="14"/>
        <color rgb="FFFF0000"/>
        <rFont val="微软雅黑"/>
        <charset val="134"/>
      </rPr>
      <t>安全</t>
    </r>
    <r>
      <rPr>
        <sz val="14"/>
        <color theme="1"/>
        <rFont val="微软雅黑"/>
        <charset val="134"/>
      </rPr>
      <t>智能体</t>
    </r>
  </si>
  <si>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</si>
  <si>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</si>
  <si>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 (GYL008) (2027Q3) 和物流全程追踪智能体 (WL009) (2027Q2)应协同实施；在途货物状态核验智能体 (WL001) (2027Q3) → 物流全程追踪智能体 (WL009) (2027Q2) → 车辆运输安全智能体 (WL006) (2027Q3)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</si>
  <si>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</si>
  <si>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</si>
  <si>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</si>
  <si>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</si>
  <si>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</si>
  <si>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</si>
  <si>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</si>
  <si>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</si>
  <si>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</si>
  <si>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</si>
  <si>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</si>
  <si>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</si>
  <si>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</si>
  <si>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</si>
  <si>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</si>
  <si>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</si>
  <si>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 (WL013) (2027Q4) → 分拣机器人调度智能体 (WL008) (2028Q1) → 仓库盘点智能体 (WL010) (2028Q2)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</si>
  <si>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</si>
  <si>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</si>
  <si>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</si>
  <si>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r>
      <rPr>
        <sz val="14"/>
        <color theme="1"/>
        <rFont val="微软雅黑"/>
        <charset val="134"/>
      </rPr>
      <t>国药控股贵州有限公司应用了自动分拣系统。该系统能够通过高精度扫描仪与视觉识别技术实现高速分拣与实时监测。实现了分拣速度达</t>
    </r>
    <r>
      <rPr>
        <sz val="12"/>
        <color rgb="FF0F1115"/>
        <rFont val="Segoe UI"/>
        <charset val="134"/>
      </rPr>
      <t>2500</t>
    </r>
    <r>
      <rPr>
        <sz val="12"/>
        <color rgb="FF0F1115"/>
        <rFont val="宋体"/>
        <charset val="134"/>
      </rPr>
      <t>件</t>
    </r>
    <r>
      <rPr>
        <sz val="12"/>
        <color rgb="FF0F1115"/>
        <rFont val="Segoe UI"/>
        <charset val="134"/>
      </rPr>
      <t>/</t>
    </r>
    <r>
      <rPr>
        <sz val="12"/>
        <color rgb="FF0F1115"/>
        <rFont val="宋体"/>
        <charset val="134"/>
      </rPr>
      <t>小时，并能自动拦截错分药品，实现</t>
    </r>
    <r>
      <rPr>
        <sz val="12"/>
        <color rgb="FF0F1115"/>
        <rFont val="Segoe UI"/>
        <charset val="134"/>
      </rPr>
      <t>“</t>
    </r>
    <r>
      <rPr>
        <sz val="12"/>
        <color rgb="FF0F1115"/>
        <rFont val="宋体"/>
        <charset val="134"/>
      </rPr>
      <t>自我纠错</t>
    </r>
    <r>
      <rPr>
        <sz val="12"/>
        <color rgb="FF0F1115"/>
        <rFont val="Segoe UI"/>
        <charset val="134"/>
      </rPr>
      <t>”</t>
    </r>
    <r>
      <rPr>
        <sz val="12"/>
        <color rgb="FF0F1115"/>
        <rFont val="宋体"/>
        <charset val="134"/>
      </rPr>
      <t>。（信息来源：</t>
    </r>
    <r>
      <rPr>
        <sz val="12"/>
        <color rgb="FF0F1115"/>
        <rFont val="Segoe UI"/>
        <charset val="134"/>
      </rPr>
      <t>http://szb.eyesnews.cn/pc/cont/202506/12/content_154236.html</t>
    </r>
    <r>
      <rPr>
        <sz val="12"/>
        <color rgb="FF0F1115"/>
        <rFont val="宋体"/>
        <charset val="134"/>
      </rPr>
      <t>）</t>
    </r>
    <r>
      <rPr>
        <sz val="12"/>
        <color rgb="FF0F1115"/>
        <rFont val="Segoe UI"/>
        <charset val="134"/>
      </rPr>
      <t xml:space="preserve">
</t>
    </r>
    <r>
      <rPr>
        <sz val="12"/>
        <color rgb="FF0F1115"/>
        <rFont val="宋体"/>
        <charset val="134"/>
      </rPr>
      <t>九州通应用了</t>
    </r>
    <r>
      <rPr>
        <sz val="12"/>
        <color rgb="FF0F1115"/>
        <rFont val="Segoe UI"/>
        <charset val="134"/>
      </rPr>
      <t>AGV</t>
    </r>
    <r>
      <rPr>
        <sz val="12"/>
        <color rgb="FF0F1115"/>
        <rFont val="宋体"/>
        <charset val="134"/>
      </rPr>
      <t>智能机器人与货到人拣选系统。该系统能够通过地空一体托盘穿梭车等自动化设备提升仓储效率。实现了拣选效率达</t>
    </r>
    <r>
      <rPr>
        <sz val="12"/>
        <color rgb="FF0F1115"/>
        <rFont val="Segoe UI"/>
        <charset val="134"/>
      </rPr>
      <t>2000</t>
    </r>
    <r>
      <rPr>
        <sz val="12"/>
        <color rgb="FF0F1115"/>
        <rFont val="宋体"/>
        <charset val="134"/>
      </rPr>
      <t>条目</t>
    </r>
    <r>
      <rPr>
        <sz val="12"/>
        <color rgb="FF0F1115"/>
        <rFont val="Segoe UI"/>
        <charset val="134"/>
      </rPr>
      <t>/</t>
    </r>
    <r>
      <rPr>
        <sz val="12"/>
        <color rgb="FF0F1115"/>
        <rFont val="宋体"/>
        <charset val="134"/>
      </rPr>
      <t>小时，吞吐效率提升</t>
    </r>
    <r>
      <rPr>
        <sz val="12"/>
        <color rgb="FF0F1115"/>
        <rFont val="Segoe UI"/>
        <charset val="134"/>
      </rPr>
      <t>5</t>
    </r>
    <r>
      <rPr>
        <sz val="12"/>
        <color rgb="FF0F1115"/>
        <rFont val="宋体"/>
        <charset val="134"/>
      </rPr>
      <t>倍，立体库单班仅需</t>
    </r>
    <r>
      <rPr>
        <sz val="12"/>
        <color rgb="FF0F1115"/>
        <rFont val="Segoe UI"/>
        <charset val="134"/>
      </rPr>
      <t>2</t>
    </r>
    <r>
      <rPr>
        <sz val="12"/>
        <color rgb="FF0F1115"/>
        <rFont val="宋体"/>
        <charset val="134"/>
      </rPr>
      <t>名操作工，库容存储密度提高</t>
    </r>
    <r>
      <rPr>
        <sz val="12"/>
        <color rgb="FF0F1115"/>
        <rFont val="Segoe UI"/>
        <charset val="134"/>
      </rPr>
      <t>200%</t>
    </r>
    <r>
      <rPr>
        <sz val="12"/>
        <color rgb="FF0F1115"/>
        <rFont val="宋体"/>
        <charset val="134"/>
      </rPr>
      <t>。（信息来源：</t>
    </r>
    <r>
      <rPr>
        <sz val="12"/>
        <color rgb="FF0F1115"/>
        <rFont val="Segoe UI"/>
        <charset val="134"/>
      </rPr>
      <t>http://m.toutiao.com/group/7537152861893968434/</t>
    </r>
    <r>
      <rPr>
        <sz val="12"/>
        <color rgb="FF0F1115"/>
        <rFont val="宋体"/>
        <charset val="134"/>
      </rPr>
      <t>）</t>
    </r>
  </si>
  <si>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</si>
  <si>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</si>
  <si>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</si>
  <si>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 (GYL008) (2027Q3)和车辆运输安全智能体 (WL006) (2027Q3) 应协同实施；在途货物状态核验智能体 (WL001) (2027Q3) → 物流全程追踪智能体 (WL009) (2027Q2) → 车辆运输安全智能体 (WL006) (2027Q3)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</si>
  <si>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</si>
  <si>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</si>
  <si>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</si>
  <si>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</si>
  <si>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</si>
  <si>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</si>
  <si>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</si>
  <si>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</si>
  <si>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</si>
  <si>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</si>
  <si>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</si>
  <si>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</si>
  <si>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</si>
  <si>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</si>
  <si>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</si>
  <si>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</si>
  <si>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</si>
  <si>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</si>
  <si>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</si>
  <si>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</si>
  <si>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</si>
  <si>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</si>
  <si>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</si>
  <si>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</si>
  <si>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</si>
  <si>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</si>
  <si>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r>
      <rPr>
        <sz val="14"/>
        <rFont val="微软雅黑"/>
        <charset val="134"/>
      </rPr>
      <t>SCMsafe链四方</t>
    </r>
    <r>
      <rPr>
        <sz val="12"/>
        <color rgb="FF0F1115"/>
        <rFont val="Segoe UI"/>
        <charset val="134"/>
      </rPr>
      <t>应用了</t>
    </r>
    <r>
      <rPr>
        <sz val="12"/>
        <color rgb="FF0F1115"/>
        <rFont val="Segoe UI"/>
        <charset val="134"/>
      </rPr>
      <t>物联网与人工智能技术</t>
    </r>
    <r>
      <rPr>
        <sz val="12"/>
        <color rgb="FF0F1115"/>
        <rFont val="Segoe UI"/>
        <charset val="134"/>
      </rPr>
      <t>。该系统能够构建“动态监控-智能管控-流程优化-决策支持”体系，实现轨迹追踪、实时温控及合规监测。实现了运输温湿度数据实时采集与自动预警，在满足GSP法规要求的同时提升了运营效率。（综合案例信息表述）</t>
    </r>
  </si>
  <si>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</si>
  <si>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</si>
  <si>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</si>
  <si>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 xml:space="preserve">仓储布局优化仿真智能体 (WL013) (2027Q4) → 分拣机器人调度智能体 (WL008)  → 仓库盘点智能体 (WL010) </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</si>
  <si>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</si>
  <si>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</si>
  <si>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</si>
  <si>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</si>
  <si>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</si>
  <si>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</si>
  <si>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</si>
  <si>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</si>
  <si>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</si>
  <si>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</si>
  <si>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</si>
  <si>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</si>
  <si>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</si>
  <si>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</si>
  <si>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</si>
  <si>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</si>
  <si>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</si>
  <si>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</si>
  <si>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</si>
  <si>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</si>
  <si>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</si>
  <si>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</si>
  <si>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</si>
  <si>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</si>
  <si>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</si>
  <si>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</si>
  <si>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</si>
  <si>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</si>
  <si>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</si>
  <si>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</si>
  <si>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</si>
  <si>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</si>
  <si>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</si>
  <si>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</si>
  <si>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</si>
  <si>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 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 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</si>
  <si>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</si>
  <si>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</si>
  <si>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</si>
  <si>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</si>
  <si>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</si>
  <si>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</si>
  <si>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</si>
  <si>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 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</si>
  <si>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</si>
  <si>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</si>
  <si>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</si>
  <si>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</si>
  <si>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</si>
  <si>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</si>
  <si>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</si>
  <si>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</si>
  <si>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</si>
  <si>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</si>
  <si>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</si>
  <si>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</si>
  <si>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</si>
  <si>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</si>
  <si>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</si>
  <si>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</si>
  <si>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</si>
  <si>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</si>
  <si>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</si>
  <si>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</si>
  <si>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</si>
  <si>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</si>
  <si>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</si>
  <si>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</si>
  <si>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</si>
  <si>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</si>
  <si>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</si>
  <si>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</si>
  <si>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</si>
  <si>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</si>
  <si>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</si>
  <si>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</si>
  <si>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</si>
  <si>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</si>
  <si>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</si>
  <si>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门店货架补货管理智能体</t>
  </si>
  <si>
    <t>LS004</t>
  </si>
  <si>
    <t>1.实时监控货架药品库存水平，自动识别低于安全库存的商品。2.自动生成补货任务（品种、数量）并推送至仓库或相关店员。3.全程跟踪补货进度，对未及时补货的情况进行预警，避免缺货。</t>
  </si>
  <si>
    <t>1.数据基础：门店货架库存可通过IoT设备或店员手持设备进行准确实时盘点。2.技术储备：补货触发逻辑与任务推送机制已开发，并能与后台仓库系统联动。3.组织与流程：门店与后台仓库间的补货协作流程已优化，明确了补货时效要求。4.战略与资源：项目是保障门店不缺货的核心运营系统，门店店长绩效考核包含缺货率指标。</t>
  </si>
  <si>
    <t>内部数据：门店POS/库存系统：货架实时库存数据。WMS系统：中央仓库库存数据。外部数据：无（补货决策基于内部库存数据联动）。</t>
  </si>
  <si>
    <t>1.需求分析与方案设计：与门店、仓库运营团队明确补货触发机制（低于安全值）、任务生成与推送规则，及跟踪流程。2.数据准备与知识建模：确保门店货架库存数据准确可采，建立安全库存动态调整机制。3.核心模块开发与验证：开发自动补货提醒与任务跟踪模块，在试点门店测试其减少缺货的有效性。4.系统集成与试点上线：将补货任务集成至门店PDA或任务系统，在试点区域门店运行。5.推广运营与持续优化：全部门店推广，监控缺货率与任务响应时效，优化安全库存设定。</t>
  </si>
  <si>
    <t>国药控股贵州有限公司应用了AGV智能拣选机器人及智能调度系统。该系统能够通过激光导航与视觉识别技术实现“货到人”的自动化分拣。实现了分拣速度达2500件/小时（相当于15名熟练工人作业），物流成本预计降低30%以上，偏远地区药品配送时效从“按周等”提升至“按小时达”。（信息来源：http://szb.eyesnews.cn/pad/cont/202506/12/content_154236.html）</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</si>
  <si>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</si>
  <si>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</si>
  <si>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</si>
  <si>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</si>
  <si>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</si>
  <si>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</si>
  <si>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</si>
  <si>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</si>
  <si>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</si>
  <si>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</si>
  <si>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</si>
  <si>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</si>
  <si>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</si>
  <si>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</si>
  <si>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</si>
  <si>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</si>
  <si>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</si>
  <si>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</si>
  <si>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</si>
  <si>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</si>
  <si>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</si>
  <si>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</si>
  <si>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</si>
  <si>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</si>
  <si>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</si>
  <si>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</si>
  <si>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</si>
  <si>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</si>
  <si>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</si>
  <si>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</si>
  <si>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</si>
  <si>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</si>
  <si>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</si>
  <si>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</si>
  <si>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</si>
  <si>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</si>
  <si>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</si>
  <si>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</si>
  <si>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</si>
  <si>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</si>
  <si>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</si>
  <si>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</si>
  <si>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</si>
  <si>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</si>
  <si>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</si>
  <si>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</si>
  <si>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</si>
  <si>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全面监控门店药品库存数量与效期，确保库存数据准确可视，自动识别低于安全库存的品规及近效期药品。2.智能生成补货与退货建议，标注补货紧急程度（如24小时内缺货风险），指导补货优先级，并对近效期药品优先提示促销清理。3.无缝对接仓库系统，一键触发补货流程，自动推送提醒至店员或仓库系统，简化门店作业，确保及时补货。</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</si>
  <si>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</si>
  <si>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</si>
  <si>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与门店、商品部门制定库存监控、补货/退货建议的生成逻辑，并与GSP效期管理结合。与门店运营明确补货触发条件（低于安全值）、紧急程度分级及提醒推送规则。2.数据准备与知识建模：确保门店库存与效期数据准确，建立与总部仓库的数据同步机制。确保门店库存数据准确实时，动态维护各商品的安全库存阈值。3.核心模块开发与验证：开发库存监控与智能建议模块，在试点门店验证建议的合理性与可操作性。开发库存监控与多级预警模块，测试其提醒的及时性与准确性。4.系统集成与试点上线：将库存管理功能集成至门店管理系统，实现一键发起补货/退货申请。在门店PDA或任务系统上线补货提醒功能，在试点门店运行。5.推广运营与持续优化：全部门店应用，监控库存周转与效期损失，优化建议策略。全部门店推广，降低因遗忘导致的缺货，优化安全库存设定。</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</si>
  <si>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</si>
  <si>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</si>
  <si>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</si>
  <si>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</si>
  <si>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</si>
  <si>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</si>
  <si>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</si>
  <si>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</si>
  <si>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</si>
  <si>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</si>
  <si>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</si>
  <si>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</si>
  <si>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</si>
  <si>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</si>
  <si>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</si>
  <si>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</si>
  <si>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</si>
  <si>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</si>
  <si>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</si>
  <si>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</si>
  <si>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</si>
  <si>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</si>
  <si>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</si>
  <si>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</si>
  <si>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</si>
  <si>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</si>
  <si>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</si>
  <si>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</si>
  <si>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</si>
  <si>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</si>
  <si>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</si>
  <si>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</si>
  <si>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</si>
  <si>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</si>
  <si>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</si>
  <si>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</si>
  <si>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</si>
  <si>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</si>
  <si>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</si>
  <si>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</si>
  <si>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</si>
  <si>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</si>
  <si>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</si>
  <si>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</si>
  <si>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</si>
  <si>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</si>
  <si>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</si>
  <si>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</si>
  <si>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</si>
  <si>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</si>
  <si>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</si>
  <si>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</si>
  <si>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</si>
  <si>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</si>
  <si>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</si>
  <si>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</si>
  <si>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</si>
  <si>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</si>
  <si>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</si>
  <si>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</si>
  <si>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</si>
  <si>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</si>
  <si>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</si>
  <si>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</si>
  <si>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</si>
  <si>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</si>
  <si>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</si>
  <si>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</si>
  <si>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</si>
  <si>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</si>
  <si>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</si>
  <si>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</si>
  <si>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</si>
  <si>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</si>
  <si>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</si>
  <si>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</si>
  <si>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</si>
  <si>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</si>
  <si>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</si>
  <si>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</si>
  <si>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</si>
  <si>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</si>
  <si>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</si>
  <si>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</si>
  <si>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</si>
  <si>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</si>
  <si>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</si>
  <si>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</si>
  <si>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</si>
  <si>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</si>
  <si>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</si>
  <si>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</si>
  <si>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</si>
  <si>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</si>
  <si>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</si>
  <si>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</si>
  <si>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</si>
  <si>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</si>
  <si>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</si>
  <si>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</si>
  <si>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</si>
  <si>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</si>
  <si>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</si>
  <si>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</si>
  <si>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</si>
  <si>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</si>
  <si>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</si>
  <si>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</si>
  <si>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r>
      <rPr>
        <sz val="14"/>
        <color theme="1"/>
        <rFont val="微软雅黑"/>
        <charset val="134"/>
      </rPr>
      <t>老百姓大药房应用了药师在岗智能监控系统。该系统能够实时监控药师在岗情况以确保合规。实现了</t>
    </r>
    <r>
      <rPr>
        <sz val="12"/>
        <color rgb="FF0F1115"/>
        <rFont val="Segoe UI"/>
        <charset val="134"/>
      </rPr>
      <t>GSP</t>
    </r>
    <r>
      <rPr>
        <sz val="12"/>
        <color rgb="FF0F1115"/>
        <rFont val="宋体"/>
        <charset val="134"/>
      </rPr>
      <t>合规率达到</t>
    </r>
    <r>
      <rPr>
        <sz val="12"/>
        <color rgb="FF0F1115"/>
        <rFont val="Segoe UI"/>
        <charset val="134"/>
      </rPr>
      <t>100%</t>
    </r>
    <r>
      <rPr>
        <sz val="12"/>
        <color rgb="FF0F1115"/>
        <rFont val="宋体"/>
        <charset val="134"/>
      </rPr>
      <t>，门店管理效率显著提升。</t>
    </r>
    <r>
      <rPr>
        <sz val="12"/>
        <color rgb="FF0F1115"/>
        <rFont val="Segoe UI"/>
        <charset val="134"/>
      </rPr>
      <t xml:space="preserve">
</t>
    </r>
    <r>
      <rPr>
        <sz val="12"/>
        <color rgb="FF0F1115"/>
        <rFont val="宋体"/>
        <charset val="134"/>
      </rPr>
      <t>益丰药房应用了智能考勤系统。该系统能够自动化管理员工考勤与排班。实现了相关人工成本降低</t>
    </r>
    <r>
      <rPr>
        <sz val="12"/>
        <color rgb="FF0F1115"/>
        <rFont val="Segoe UI"/>
        <charset val="134"/>
      </rPr>
      <t>40%</t>
    </r>
    <r>
      <rPr>
        <sz val="12"/>
        <color rgb="FF0F1115"/>
        <rFont val="宋体"/>
        <charset val="134"/>
      </rPr>
      <t>，合规风险大幅降低。</t>
    </r>
  </si>
  <si>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</si>
  <si>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</si>
  <si>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</si>
  <si>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</si>
  <si>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</si>
  <si>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</si>
  <si>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r>
      <rPr>
        <sz val="14"/>
        <color theme="1"/>
        <rFont val="微软雅黑"/>
        <charset val="134"/>
      </rPr>
      <t>海王星辰应用了近效期商品清库系统。该系统能够智能识别并推动近效期药品的销售。实现了近效期商品清库率提升</t>
    </r>
    <r>
      <rPr>
        <sz val="12"/>
        <color rgb="FF0F1115"/>
        <rFont val="Segoe UI"/>
        <charset val="134"/>
      </rPr>
      <t>50%</t>
    </r>
    <r>
      <rPr>
        <sz val="12"/>
        <color rgb="FF0F1115"/>
        <rFont val="宋体"/>
        <charset val="134"/>
      </rPr>
      <t>，会员复购率增加</t>
    </r>
    <r>
      <rPr>
        <sz val="12"/>
        <color rgb="FF0F1115"/>
        <rFont val="Segoe UI"/>
        <charset val="134"/>
      </rPr>
      <t>35%</t>
    </r>
    <r>
      <rPr>
        <sz val="12"/>
        <color rgb="FF0F1115"/>
        <rFont val="宋体"/>
        <charset val="134"/>
      </rPr>
      <t>。</t>
    </r>
    <r>
      <rPr>
        <sz val="12"/>
        <color rgb="FF0F1115"/>
        <rFont val="Segoe UI"/>
        <charset val="134"/>
      </rPr>
      <t xml:space="preserve">
</t>
    </r>
    <r>
      <rPr>
        <sz val="12"/>
        <color rgb="FF0F1115"/>
        <rFont val="宋体"/>
        <charset val="134"/>
      </rPr>
      <t>大参林应用了智能促销平台。该系统能够针对近效期等商品制定精准营销策略。实现了近效期损耗减少</t>
    </r>
    <r>
      <rPr>
        <sz val="12"/>
        <color rgb="FF0F1115"/>
        <rFont val="Segoe UI"/>
        <charset val="134"/>
      </rPr>
      <t>40%</t>
    </r>
    <r>
      <rPr>
        <sz val="12"/>
        <color rgb="FF0F1115"/>
        <rFont val="宋体"/>
        <charset val="134"/>
      </rPr>
      <t>，营销活动</t>
    </r>
    <r>
      <rPr>
        <sz val="12"/>
        <color rgb="FF0F1115"/>
        <rFont val="Segoe UI"/>
        <charset val="134"/>
      </rPr>
      <t>ROI</t>
    </r>
    <r>
      <rPr>
        <sz val="12"/>
        <color rgb="FF0F1115"/>
        <rFont val="宋体"/>
        <charset val="134"/>
      </rPr>
      <t>提升</t>
    </r>
    <r>
      <rPr>
        <sz val="12"/>
        <color rgb="FF0F1115"/>
        <rFont val="Segoe UI"/>
        <charset val="134"/>
      </rPr>
      <t>3</t>
    </r>
    <r>
      <rPr>
        <sz val="12"/>
        <color rgb="FF0F1115"/>
        <rFont val="宋体"/>
        <charset val="134"/>
      </rPr>
      <t>倍。</t>
    </r>
  </si>
  <si>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</si>
  <si>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</si>
  <si>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</si>
  <si>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</si>
  <si>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</si>
  <si>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</si>
  <si>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</si>
  <si>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r>
      <rPr>
        <sz val="14"/>
        <color theme="1"/>
        <rFont val="微软雅黑"/>
        <charset val="134"/>
      </rPr>
      <t>某连锁药店应用了智能巡检系统。该系统能够自动化完成门店巡检任务。实现了巡检效率提升</t>
    </r>
    <r>
      <rPr>
        <sz val="12"/>
        <color rgb="FF0F1115"/>
        <rFont val="Segoe UI"/>
        <charset val="134"/>
      </rPr>
      <t>60%</t>
    </r>
    <r>
      <rPr>
        <sz val="12"/>
        <color rgb="FF0F1115"/>
        <rFont val="宋体"/>
        <charset val="134"/>
      </rPr>
      <t>，门店合规率得到显著提升。</t>
    </r>
    <r>
      <rPr>
        <sz val="12"/>
        <color rgb="FF0F1115"/>
        <rFont val="Segoe UI"/>
        <charset val="134"/>
      </rPr>
      <t xml:space="preserve">
</t>
    </r>
    <r>
      <rPr>
        <sz val="12"/>
        <color rgb="FF0F1115"/>
        <rFont val="宋体"/>
        <charset val="134"/>
      </rPr>
      <t>某零售连锁应用了</t>
    </r>
    <r>
      <rPr>
        <sz val="12"/>
        <color rgb="FF0F1115"/>
        <rFont val="Segoe UI"/>
        <charset val="134"/>
      </rPr>
      <t>AI</t>
    </r>
    <r>
      <rPr>
        <sz val="12"/>
        <color rgb="FF0F1115"/>
        <rFont val="宋体"/>
        <charset val="134"/>
      </rPr>
      <t>辅助督导系统。该系统能够通过人工智能技术辅助督导工作。实现了督导工作效率提升</t>
    </r>
    <r>
      <rPr>
        <sz val="12"/>
        <color rgb="FF0F1115"/>
        <rFont val="Segoe UI"/>
        <charset val="134"/>
      </rPr>
      <t>80%</t>
    </r>
    <r>
      <rPr>
        <sz val="12"/>
        <color rgb="FF0F1115"/>
        <rFont val="宋体"/>
        <charset val="134"/>
      </rPr>
      <t>。</t>
    </r>
  </si>
  <si>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</si>
  <si>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</si>
  <si>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</si>
  <si>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</si>
  <si>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</si>
  <si>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</si>
  <si>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</si>
  <si>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</si>
  <si>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</si>
  <si>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</si>
  <si>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</si>
  <si>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</si>
  <si>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</si>
  <si>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</si>
  <si>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</si>
  <si>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</si>
  <si>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</si>
  <si>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</si>
  <si>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</si>
  <si>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</si>
  <si>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</si>
  <si>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</si>
  <si>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</si>
  <si>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</si>
  <si>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</si>
  <si>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</si>
  <si>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</si>
  <si>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</si>
  <si>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</si>
  <si>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</si>
  <si>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</si>
  <si>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</si>
  <si>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</si>
  <si>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</si>
  <si>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</si>
  <si>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</si>
  <si>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</si>
  <si>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</si>
  <si>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</si>
  <si>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</si>
  <si>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</si>
  <si>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</si>
  <si>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</si>
  <si>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</si>
  <si>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</si>
  <si>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</si>
  <si>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</si>
  <si>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</si>
  <si>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</si>
  <si>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</si>
  <si>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</si>
  <si>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</si>
  <si>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</si>
  <si>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</si>
  <si>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</si>
  <si>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</si>
  <si>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</si>
  <si>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</si>
  <si>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</si>
  <si>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</si>
  <si>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</si>
  <si>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</si>
  <si>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</si>
  <si>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</si>
  <si>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</si>
  <si>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</si>
  <si>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</si>
  <si>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</si>
  <si>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</si>
  <si>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</si>
  <si>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</si>
  <si>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</si>
  <si>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</si>
  <si>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</si>
  <si>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</si>
  <si>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</si>
  <si>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</si>
  <si>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</si>
  <si>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</si>
  <si>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</si>
  <si>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</si>
  <si>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</si>
  <si>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</si>
  <si>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</si>
  <si>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</si>
  <si>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</si>
  <si>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</si>
  <si>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</si>
  <si>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</si>
  <si>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</si>
  <si>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</si>
  <si>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</si>
  <si>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</si>
  <si>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</si>
  <si>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</si>
  <si>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</si>
  <si>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</si>
  <si>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</si>
  <si>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</si>
  <si>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</si>
  <si>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</si>
  <si>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</si>
  <si>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</si>
  <si>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</si>
  <si>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</si>
  <si>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</si>
  <si>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</si>
  <si>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</si>
  <si>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</si>
  <si>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</si>
  <si>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</si>
  <si>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</si>
  <si>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</si>
  <si>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</si>
  <si>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</si>
  <si>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</si>
  <si>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</si>
  <si>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</si>
  <si>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</si>
  <si>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</si>
  <si>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</si>
  <si>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</si>
  <si>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</si>
  <si>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</si>
  <si>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</si>
  <si>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</si>
  <si>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</si>
  <si>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</si>
  <si>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</si>
  <si>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</si>
  <si>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</si>
  <si>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</si>
  <si>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</si>
  <si>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</si>
  <si>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</si>
  <si>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</si>
  <si>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</si>
  <si>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</si>
  <si>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</si>
  <si>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</si>
  <si>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</si>
  <si>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</si>
  <si>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</si>
  <si>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</si>
  <si>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</si>
  <si>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</si>
  <si>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</si>
  <si>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</si>
  <si>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</si>
  <si>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</si>
  <si>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</si>
  <si>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</si>
  <si>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</si>
  <si>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</si>
  <si>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</si>
  <si>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</si>
  <si>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</si>
  <si>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</si>
  <si>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</si>
  <si>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</si>
  <si>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</si>
  <si>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</si>
  <si>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</si>
  <si>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</si>
  <si>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</si>
  <si>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</si>
  <si>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</si>
  <si>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</si>
  <si>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</si>
  <si>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</si>
  <si>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</si>
  <si>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</si>
  <si>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</si>
  <si>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</si>
  <si>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</si>
  <si>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</si>
  <si>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</si>
  <si>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</si>
  <si>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</si>
  <si>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</si>
  <si>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</si>
  <si>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</si>
  <si>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</si>
  <si>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</si>
  <si>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</si>
  <si>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</si>
  <si>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</si>
  <si>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</si>
  <si>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</si>
  <si>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</si>
  <si>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</si>
  <si>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</si>
  <si>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</si>
  <si>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</si>
  <si>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</si>
  <si>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</si>
  <si>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</si>
  <si>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</si>
  <si>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</si>
  <si>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</si>
  <si>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</si>
  <si>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</si>
  <si>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</si>
  <si>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</si>
  <si>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</si>
  <si>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</si>
  <si>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</si>
  <si>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</si>
  <si>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</si>
  <si>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</si>
  <si>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</si>
  <si>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</si>
  <si>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</si>
  <si>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</si>
  <si>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</si>
  <si>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</si>
  <si>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</si>
  <si>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</si>
  <si>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</si>
  <si>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</si>
  <si>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</si>
  <si>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</si>
  <si>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</si>
  <si>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</si>
  <si>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</si>
  <si>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</si>
  <si>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</si>
  <si>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</si>
  <si>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</si>
  <si>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</si>
  <si>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</si>
  <si>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</si>
  <si>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客户信用风险评估智能体</t>
  </si>
  <si>
    <t>YY128</t>
  </si>
  <si>
    <t>1.智能整合内外部客户数据，构建精准的信用评分模型。2.自动识别潜在坏账客户，并执行信用额度下调或暂停发货等措施。3.科学建议新客户初始信用额度与账期，支持“模拟授信”辅助决策。</t>
  </si>
  <si>
    <t>各业务部门、财务管理部</t>
  </si>
  <si>
    <t>1.数据基础：客户历史交易、回款、司法涉诉、行业数据等多源数据可获取并融合。2.技术储备：LightGBM等信用评分模型判别能力优秀，决策式AI模拟授信逻辑合理。3.组织与流程：信用管理政策已制定，信审委员会拥有授信审批与额度调整权限。4.战略与资源：项目是控制坏账风险的生命线，销售、财务、风控部门达成共识。</t>
  </si>
  <si>
    <t>内部数据：ERP系统：客户历史交易数据（回款速度、订单履约率）。CRM系统：客户子公司授信数据。外部数据：中国人民银行征信中心：企业征信报告。第三方司法数据服务商：客户司法涉诉信息。行业研究机构：客户所在行业的景气指数报告。</t>
  </si>
  <si>
    <t>1.需求分析与方案设计：与风控、财务、销售部门共同设计信用评分模型，定义数据输入、评分等级与授信策略。2.数据准备与知识建模：整合内外部多源信用数据，构建客户信用画像，完成数据标注。3.核心模块开发与验证：开发信用评分模型与额度计算模块，利用历史坏账数据验证其预测能力。4.系统集成与试点上线：将信用评估集成至订单创建流程，对新客户和部分老客户进行试点授信。5.推广运营与持续优化：全流程风控，监控模型区分度，定期重构模型以应对信用环境变化。</t>
  </si>
  <si>
    <t>云南省生物医药产业应用了基于区块链的可信供应链金融平台。该系统能够利用区块链数据可追溯且难以篡改的特性，使上下游中小药商的交易数据和信用数据更加透明、可信。显著提升了产业链的融资可信度与效率。（信息来源：https://xuper.baidu.com/n/xuperdoc/developing_apps/dapps/scf.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</si>
  <si>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</si>
  <si>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</si>
  <si>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</si>
  <si>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</si>
  <si>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</si>
  <si>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</si>
  <si>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</si>
  <si>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</si>
  <si>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</si>
  <si>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</si>
  <si>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</si>
  <si>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</si>
  <si>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</si>
  <si>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</si>
  <si>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</si>
  <si>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</si>
  <si>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</si>
  <si>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</si>
  <si>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</si>
  <si>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</si>
  <si>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</si>
  <si>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</si>
  <si>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</si>
  <si>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</si>
  <si>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</si>
  <si>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</si>
  <si>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</si>
  <si>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</si>
  <si>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</si>
  <si>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</si>
  <si>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</si>
  <si>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</si>
  <si>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</si>
  <si>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</si>
  <si>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</si>
  <si>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</si>
  <si>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</si>
  <si>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</si>
  <si>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</si>
  <si>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</si>
  <si>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</si>
  <si>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</si>
  <si>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</si>
  <si>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</si>
  <si>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</si>
  <si>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</si>
  <si>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</si>
  <si>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</si>
  <si>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</si>
  <si>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</si>
  <si>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</si>
  <si>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</si>
  <si>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</si>
  <si>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</si>
  <si>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</si>
  <si>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</si>
  <si>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</si>
  <si>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</si>
  <si>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</si>
  <si>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</si>
  <si>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</si>
  <si>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</si>
  <si>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</si>
  <si>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</si>
  <si>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</si>
  <si>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</si>
  <si>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</si>
  <si>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</si>
  <si>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</si>
  <si>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</si>
  <si>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</si>
  <si>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</si>
  <si>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</si>
  <si>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</si>
  <si>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</si>
  <si>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</si>
  <si>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</si>
  <si>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</si>
  <si>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企业安全隐患识别智能体</t>
  </si>
  <si>
    <t>YY138</t>
  </si>
  <si>
    <t>1.智能识别办公区域、生产区域的安全隐患与违规操作行为。2.自动标注消防隐患点位，生成隐患整改清单与跟踪机制。3.结合历史事故数据，预测潜在安全风险并提供预防措施建议。</t>
  </si>
  <si>
    <t>1.数据基础：安防监控系统覆盖率达标，安全管理制度和标准已建立完善。2.技术储备：图像识别和安全分析技术已通过可行性验证。3.组织与流程：已制定安全隐患处置标准化流程和应急预案。4.战略与资源：项目符合安全生产战略要求，安防设备和技术资源已就绪。</t>
  </si>
  <si>
    <t>1.实现企业安全隐患的智能识别和全天候监控，提升安全管控水平。2.加强安全事故预防能力，降低安全风险和潜在损失。3.显著减少安全管理人员在隐患排查和现场巡检方面的工作强度。</t>
  </si>
  <si>
    <t>计算机视觉,图像识别,机器学习,异常检测</t>
  </si>
  <si>
    <t>内部数据：安防系统：实时监控视频、历史安全事件记录。设施管理：设备状态、维护记录。外部数据：安监部门：安全标准规范、事故案例库。消防部门：消防安全标准、应急预案。</t>
  </si>
  <si>
    <t>1.需求分析与方案设计：梳理企业安全隐患类型，设计智能识别算法方案。2.样本收集与模型训练：收集各类安全隐患图像样本，训练识别分类模型。3.系统开发与功能验证：开发隐患识别分析系统，验证识别准确性和响应速度。4.集成部署与试点运行：集成至现有安防系统，在重点区域开展试点。5.全面推广与持续改进：推广至全企业应用，根据识别效果持续优化算法。</t>
  </si>
  <si>
    <t>东莞市烟草专卖局上线的用电安全智能监测系统，通过分析网络设备活跃度数据，自动识别下班后未关闭的电脑、空调等设备，生成带定位的用电隐患清单。系统设置三级预警机制，对连续3天违规设备自动触发线下核查，使办公区域待机能耗降低45%，3个月内整改1115起隐患。该系统还整合烟感报警数据，构建"用电+消防"联防体系，实现火警误报率下降62%
。（信息来源：https://gd.tobacco.gov.cn/dongguan/xwdt/content/post_39807.html）</t>
  </si>
  <si>
    <t>时间计划</t>
  </si>
  <si>
    <t>投入估算（万元）</t>
  </si>
  <si>
    <t>项目优先级评分表（作为启动时间和实施周期的评估依据）</t>
  </si>
  <si>
    <t>得分</t>
  </si>
  <si>
    <t>重要性（满分30分）</t>
  </si>
  <si>
    <t>战略基础性（15分）</t>
  </si>
  <si>
    <t>11-15分：公司级数字化的基石项目，为多个其他AI场景提供必需的数据或能力平台。
6-10分：业务板块的核心基础项目，是板块内多个流程优化的前提。
0-5分：对单一业务流程有优化作用，不具备广泛支撑性。</t>
  </si>
  <si>
    <t>业务价值性（15分）</t>
  </si>
  <si>
    <t>11-15分：直接创造显著收入/大幅降低成本，或能规避重大合规/质量风险。
6-10分：能有效提升收入/降低成本，或显著提升客户满意度。
0-5分：价值主要体现在提升工作效率或员工体验上。</t>
  </si>
  <si>
    <t>紧迫性（30分）</t>
  </si>
  <si>
    <t>问题严重性（15分）</t>
  </si>
  <si>
    <t>15分：解决当前业务中存在的“痛点”、“堵点”问题，不解决将导致重大运营损失或风险。
10分：解决业务中普遍存在的效率低下、错误率高的问题。
5分：解决局部或个别团队反映的不便问题。</t>
  </si>
  <si>
    <t>需求广泛性（15分）</t>
  </si>
  <si>
    <t>15分：需求来自公司高层或跨多个核心业务部门，影响范围广。
10分：需求来自单一核心业务部门，但部门内需求强烈。
5分：需求来自特定团队或岗位，影响范围有限。</t>
  </si>
  <si>
    <t>可行性（40分）</t>
  </si>
  <si>
    <t>数据与技术成熟度（20分）</t>
  </si>
  <si>
    <t>16-20分：所需核心内外部数据齐全、质量高、接口易打通；核心技术（如OCR,NLP）在公司内有成功应用案例。
11-15分：核心数据基本可用，需少量治理；核心技术成熟但需引入或适应性开发。
6-10分：数据存在部分缺失或质量一般，需中等程度治理；核心技术处于探索阶段。
0-5分：数据缺失严重或质量差；核心技术不确定性高，风险大。</t>
  </si>
  <si>
    <t>实施复杂度与资源匹配度（20分）</t>
  </si>
  <si>
    <t>16-20分：实施路径清晰，业务部门配合度高且已组建联合团队，预算与人才资源已就位。
11-15分：实施有一定复杂性，需跨部门协调，资源需额外申请但预期可获得。
6-10分：实施复杂，涉及业务流程重塑，资源需求高，获取存在不确定性。
0-5分：实施极其复杂，阻力大，资源缺口大，获取困难。</t>
  </si>
  <si>
    <t>合计</t>
  </si>
  <si>
    <t>优先级梯队</t>
  </si>
  <si>
    <t>综合得分区间</t>
  </si>
  <si>
    <t>启动时间点分配</t>
  </si>
  <si>
    <t>项目特征描述</t>
  </si>
  <si>
    <t>P0：旗舰先行</t>
  </si>
  <si>
    <t>85-100分</t>
  </si>
  <si>
    <t>2026Q1、2026Q2、2026Q3</t>
  </si>
  <si>
    <t>高重要性、高紧迫性、高可行性。是公司的战略型项目，必须优先启动，抢占先机，奠定基础。</t>
  </si>
  <si>
    <t>P1：核心攻坚</t>
  </si>
  <si>
    <t>70-84分</t>
  </si>
  <si>
    <t>2026Q4、2027Q1、2027Q2、2027Q3</t>
  </si>
  <si>
    <t>在重要性、紧迫性、可行性上至少有两项得分很高。是提升核心竞争力的关键项目，资源倾斜重点。</t>
  </si>
  <si>
    <t>P2：价值提升</t>
  </si>
  <si>
    <t>55-69分</t>
  </si>
  <si>
    <t>2027Q4、2028Q1、2028Q2</t>
  </si>
  <si>
    <t>价值明确，但可能在紧迫性或可行性上存在一定短板。作为资源充足时的优化和补充项目。</t>
  </si>
  <si>
    <t>P3：未来储备</t>
  </si>
  <si>
    <t>&lt;55分</t>
  </si>
  <si>
    <t>2028Q3、2028Q4</t>
  </si>
  <si>
    <t>多为前瞻性探索项目，或当前条件尚不成熟，需等待时机（如技术突破、数据完善）后再行启动。</t>
  </si>
  <si>
    <t>典型周期范围</t>
  </si>
  <si>
    <t>数据与技术成熟度得分</t>
  </si>
  <si>
    <t>实施复杂度与资源匹配度得分</t>
  </si>
  <si>
    <t>快速落地</t>
  </si>
  <si>
    <t>3-6个月</t>
  </si>
  <si>
    <t>16-20分（优秀）</t>
  </si>
  <si>
    <t>技术成熟、数据就绪、团队到位、阻力极小。通常为POC验证或模块化功能开发。</t>
  </si>
  <si>
    <t>标准周期</t>
  </si>
  <si>
    <t>7-12个月</t>
  </si>
  <si>
    <t>11-15分（良好）</t>
  </si>
  <si>
    <t>技术/数据需少量准备，资源需协调但路径清晰。是最常见的项目类型。</t>
  </si>
  <si>
    <t>挑战周期</t>
  </si>
  <si>
    <t>13-18个月</t>
  </si>
  <si>
    <t>6-10分（一般）</t>
  </si>
  <si>
    <t>技术/数据存在短板，实施涉及跨部门流程变革，资源获取不确定。</t>
  </si>
  <si>
    <t>高风周期</t>
  </si>
  <si>
    <t>&gt;18个月</t>
  </si>
  <si>
    <t>0-5分（差）</t>
  </si>
  <si>
    <t>技术探索性高、数据基础差、流程重塑阻力大、资源匮乏。成功率低，周期极易延期。</t>
  </si>
  <si>
    <t>模块</t>
  </si>
  <si>
    <t>预算项</t>
  </si>
  <si>
    <t>选项/分级</t>
  </si>
  <si>
    <t>估算范围</t>
  </si>
  <si>
    <t>说明与选择条件</t>
  </si>
  <si>
    <t>A.开发与采购（二选一）</t>
  </si>
  <si>
    <t>A1.采购配置型</t>
  </si>
  <si>
    <t>基础功能包</t>
  </si>
  <si>
    <t>5-15万/年</t>
  </si>
  <si>
    <t>标准化SaaS产品，但需部署在公司私有云或内网。</t>
  </si>
  <si>
    <t>标准功能包</t>
  </si>
  <si>
    <t>15-30万/年</t>
  </si>
  <si>
    <t>含部分定制化配置。</t>
  </si>
  <si>
    <t>高级功能包</t>
  </si>
  <si>
    <t>30-50万/年</t>
  </si>
  <si>
    <t>包含行业特定高级模块。</t>
  </si>
  <si>
    <t>实施服务费</t>
  </si>
  <si>
    <t>*许可费的30%-50%*</t>
  </si>
  <si>
    <t>-</t>
  </si>
  <si>
    <t>用于私有化部署、系统配置、数据初始化和培训。</t>
  </si>
  <si>
    <t>A2.定制开发型</t>
  </si>
  <si>
    <t>简单</t>
  </si>
  <si>
    <t>4.5-9万</t>
  </si>
  <si>
    <t>不含复杂AI模型，功能明确，集成点少。</t>
  </si>
  <si>
    <t>中等</t>
  </si>
  <si>
    <t>9-22.5万</t>
  </si>
  <si>
    <t>包含1个核心AI模型（如OCR、NLP）的应用与调优。</t>
  </si>
  <si>
    <t>复杂</t>
  </si>
  <si>
    <t>22.5-45万</t>
  </si>
  <si>
    <t>深度依赖大模型能力（如RAG智能体、多模型决策），需大量定制化开发。</t>
  </si>
  <si>
    <t>人天单价</t>
  </si>
  <si>
    <t>*0.15万元/人天*</t>
  </si>
  <si>
    <t>行业平均水平。</t>
  </si>
  <si>
    <t>B.数据服务（按需叠加）</t>
  </si>
  <si>
    <t>数据处理与标注</t>
  </si>
  <si>
    <t>质量高、结构化好</t>
  </si>
  <si>
    <t>2-5万</t>
  </si>
  <si>
    <t>少量清洗工作。</t>
  </si>
  <si>
    <t>质量差、需大量清洗</t>
  </si>
  <si>
    <t>5-15万</t>
  </si>
  <si>
    <t>重点项：为训练或微调私有模型准备高质量数据。</t>
  </si>
  <si>
    <t>C.基础设施（按需叠加）</t>
  </si>
  <si>
    <t>原则：优先利用已采购的2台H800服务器。仅当项目经IT部门评估，确认现有算力资源满载或不足时，才计算此项。</t>
  </si>
  <si>
    <t>新增GPU服务器</t>
  </si>
  <si>
    <t>扩展计算卡</t>
  </si>
  <si>
    <t>15-40万/台</t>
  </si>
  <si>
    <t>为应对大规模模型推理或训练任务而扩容。</t>
  </si>
  <si>
    <t>新增应用/数据库服务器</t>
  </si>
  <si>
    <t>标准企业级</t>
  </si>
  <si>
    <t>8-15万/台</t>
  </si>
  <si>
    <t>用于部署应用、数据库或向量数据库等。</t>
  </si>
  <si>
    <t>网络与安全设备</t>
  </si>
  <si>
    <t>企业级</t>
  </si>
  <si>
    <t>5-10万</t>
  </si>
  <si>
    <t>如防火墙、交换机等，保障AI系统内网安全。</t>
  </si>
  <si>
    <t>预算浮动系数</t>
  </si>
  <si>
    <t>需求明确度</t>
  </si>
  <si>
    <t>非常明确</t>
  </si>
  <si>
    <t>需求稳定，流程清晰。</t>
  </si>
  <si>
    <t>基本明确</t>
  </si>
  <si>
    <t>1.1-1.2</t>
  </si>
  <si>
    <t>部分细节待定。</t>
  </si>
  <si>
    <t>模糊，需探索</t>
  </si>
  <si>
    <t>1.3-1.5</t>
  </si>
  <si>
    <t>需求不明确，变更风险高。</t>
  </si>
  <si>
    <t>集成复杂度</t>
  </si>
  <si>
    <t>简单集成（≤1个API）</t>
  </si>
  <si>
    <t>对接简单。</t>
  </si>
  <si>
    <t>中等集成（2-3个系统）</t>
  </si>
  <si>
    <t>1.1-1.3</t>
  </si>
  <si>
    <t>需与WMS、ERP等内部系统对接。</t>
  </si>
  <si>
    <t>复杂集成（&gt;3个系统）</t>
  </si>
  <si>
    <t>1.4-1.6</t>
  </si>
  <si>
    <t>多系统深度集成或对接复杂外部平台。</t>
  </si>
  <si>
    <t>字段名称</t>
  </si>
  <si>
    <t>表述规范说明</t>
  </si>
  <si>
    <t>1.核心结构：采用“动词+对象+目标/结果”的句式
每个功能点应以一个强有力的动词开头，明确“做什么”，接着是“对什么”（对象），最后简要说明“为了什么”（目标或达成的效果）。
2.表述原则：
简洁精炼：每个功能点控制在1行内，避免复杂长句。
价值导向：不仅描述动作，更要点明该功能解决的业务问题或带来的直接价值。
模块化排列：一个项目的多个主要功能应分点（1.2.3....）陈述，逻辑清晰。
3.标准句式模板：
【动词】+【对象】，以/实现/从而【目标/结果】
4.常用动词库（根据场景选择）：
智能识别类：自动识别、实时核验、智能审查、精准定位、动态感知
分析决策类：智能分析、自动生成、精准预测、优化配置、风险评估
流程执行类：自动执行、智能调度、一站式处理、闭环管理
服务交互类：智能引导、个性化推送、实时应答、自助查询
应用示例（供应商准入审核智能体）：
1.自动核验供应商经营许可与资质，实现与官方数据库的实时比对与合规性判断。2.智能评估供应商合作风险，通过抓取外部信用与处罚记录生成风险评级。3.智能审查资质文件，依据GSP及内控标准自动标注风险点并提供审查依据。4.自动判别供应商类型（新增/历史），关联内部数据库以提升准入审核效率。</t>
  </si>
  <si>
    <t>表述规范：采用“前提条件”的表述方式，分点列出项目启动前必须满足的关键前提，强调必要性和依赖性。
规范模板：
数据基础：[具体数据]已完成治理/可达，且[相关系统]接口可打通。
技术储备：具备成熟的[某项具体AI或相关]技术能力，或已完成技术选型。
组织与流程：明确的业务流程所有者、已建立[相关]标准作业程序与评估模型。
战略与资源：项目与公司[数字化/降本增效]战略方向一致，且预算与团队资源已就位。
应用示例（供应商准入审核智能体）：
1.数据基础：公司内部供应商主数据治理已完成，关键字段完整率达95%以上，且具备稳定接入国家药监局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</si>
  <si>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表述规范：采用“定性描述+可量化的效率/质量提升”的句式，避免直接财务指标，聚焦运营改善。
规范模板：
提升[某业务环节]效率约[XX]%。
将[某具体任务]的准确率/合规率提升至[XX]%。
减少[某类]人工投入约[XX]%。
缩短[某业务流程]周期从[Y]至[X]。
实现[某项能力]从无到有/从手动到自动的突破。
应用示例（供应商准入审核智能体）：
1.提升供应商资质审核效率约70%。2.将新供应商风险识别的准确率提升至90%。3.减少采购专员在资质初审环节的人工投入约50%。</t>
  </si>
  <si>
    <t>表述规范：根据项目情况判断，从技术列表中勾选，确保表述一致性。若涉及其他AI技术，也可以额外添加，不局限于以下技术列表。
统一AI技术列表：
自然语言处理（NLP）：文本理解、信息抽取、情感分析、智能问答。
机器学习（ML）：预测模型、分类模型、聚类分析、推荐算法。
大语言模型（LLM）：作为底层能力，用于复杂文本生成与理解。
光学字符识别（OCR）：专用于证件、票据、文档的智能识别。
计算机视觉（CV）：图像识别、视频分析。
机器人流程自动化（RPA）：用于跨系统、规则化的数据录入与操作。
知识图谱：构建实体关系网络，用于深度推理与关联查询。
智能问答（QA）：基于知识库的自动问答系统。
预测模型：基于历史数据的时间序列预测、回归分析。
多模态：融合文本、图像、语音等多种信息进行综合判断。
Agent（智能体）：具备自主规划、执行、工具调用能力的AI应用。
RAG（检索增强生成）：结合外部知识库检索与大模型生成，确保信息准确。
应用示例（供应商准入审核智能体）：
OCR,NLP,RPA,机器学习，知识图谱，预测模型</t>
  </si>
  <si>
    <t>表述规范：清晰分点，明确数据内容与具体来源，区分内外部。
规范模板：
1.内部数据：
[系统名]：[具体数据表或字段]，如“ERP系统：采购历史、库存数据”。
2.外部数据：
[机构/平台名]：[具体数据内容]，如“国家药监局(NMPA)：药品注册数据库、GMP/GSP法规原文”。
[第三方数据商]：[具体数据内容]，如“IMSHealth：药品销售市场数据”。
应用示例（供应商准入审核智能体）：
内部数据：ERP系统中的供应商主数据、历史合作记录；WMS系统中的入库质检报告。
外部数据：国家药品监督管理局(NMPA)的药品/生产企业许可证照库；国家企业信用信息公示系统的行政处罚与经营异常信息。</t>
  </si>
  <si>
    <t>表述规范：采用标准的智能体/AI项目开发流程，分阶段阐述核心任务与产出。
规范模板：
第一阶段：需求分析与方案设计
核心任务：深入调研业务场景，明确决策逻辑与规则，定义智能体的行动边界与成功指标。
第二阶段：数据准备与知识建模
核心任务：打通内外部数据源，进行数据清洗与标注；构建业务知识图谱或训练数据集。
第三阶段：核心模块开发与验证
核心任务：开发判别模型、决策引擎、工具调用等核心AI模块，并在封闭场景中进行验证与调优。
第四阶段：系统集成与试点上线
核心任务：将智能体与现有业务系统（如ERP,CRM）集成，选取典型业务单元进行试点，跑通端到端流程。
第五阶段：推广运营与持续优化
核心任务：全公司范围推广，建立监控与反馈机制，基于业务反馈对智能体进行持续迭代优化。
应用示例（供应商准入审核智能体）：
1.需求分析与方案设计：调研现有供应商准入全流程，明确审核规则、风险指标与合规条款。
2.数据准备与知识建模：接入内外部数据源，构建“供应商-资质-风险”知识图谱。
3.核心模块开发与验证：开发资质OCR识别、风险评级模型，并在历史数据上进行回测验证。
4.系统集成与试点上线：将智能体嵌入采购管理系统，选择3个业务部门进行试点。
5.推广运营与持续优化：全供应链部门推广，监控审核通过率与风险命中率，定期更新模型与规则。</t>
  </si>
  <si>
    <t>表述规范：
[企业/平台名称]应用了[核心系统/技术/方案名称]。该系统能够[核心功能与能力描述，解决什么问题]。实现了[具体的、量化的业务效果]。（信息来源：[超链接]）
应用示例（供应商准入审核智能体）：
数商云医药B2B平台应用了全链路合规体系与智能资质审核系统。该系统通过自动化流程确保供应商资质合规，将资质审核周期从25天缩短至5天，效率提升80%，同时将采购驳回率从30%降至3%。(信息来源：https://www.shushangyun.com/article-23157.html)</t>
  </si>
  <si>
    <t>战略基础性得分（15 分）</t>
  </si>
  <si>
    <t>业务价值性得分（15 分）</t>
  </si>
  <si>
    <t>问题严重性得分（15 分）</t>
  </si>
  <si>
    <t>需求广泛性得分（15 分）</t>
  </si>
  <si>
    <t>数据与技术成熟度得分（20 分）</t>
  </si>
  <si>
    <t>实施复杂度与资源匹配度得分（20 分）</t>
  </si>
  <si>
    <t>总分</t>
  </si>
  <si>
    <t>实施周期（月）</t>
  </si>
  <si>
    <t>冷链运输全程温控智能体</t>
  </si>
  <si>
    <t>合同风险审查智能体</t>
  </si>
  <si>
    <t>药品-疾病-品类智能标签管理智能体</t>
  </si>
  <si>
    <t>车辆运输安全智能体</t>
  </si>
  <si>
    <t>运输调度管理智能体</t>
  </si>
  <si>
    <t>合同关键要素提取智能体</t>
  </si>
  <si>
    <t>业务单据核对智能体</t>
  </si>
  <si>
    <t>物流异常事件处置智能体</t>
  </si>
  <si>
    <t>门店补货提醒智能体</t>
  </si>
  <si>
    <t>合同续约提醒与管理智能体</t>
  </si>
  <si>
    <t>药品动态安全库存智能计算智能体</t>
  </si>
  <si>
    <t>物流数据可视化智能体</t>
  </si>
  <si>
    <t>投资管理</t>
  </si>
  <si>
    <t>线上O2O爆品实时定价智能体</t>
  </si>
  <si>
    <t>采购合同生成智能体</t>
  </si>
  <si>
    <t>供应商关系管理智能体</t>
  </si>
  <si>
    <t>药品评审流程跟踪智能体</t>
  </si>
  <si>
    <t>核心开发与实施费（万元）</t>
  </si>
  <si>
    <t>实施服务费（万元）</t>
  </si>
  <si>
    <t>数据服务费（万元）</t>
  </si>
  <si>
    <t>基础设施费（万元）</t>
  </si>
  <si>
    <t>浮动系数（需求明确度×集成复杂度）</t>
  </si>
  <si>
    <t>总预算（万元）</t>
  </si>
  <si>
    <t>预算理由</t>
  </si>
  <si>
    <t>32.0（A1标准功能包）</t>
  </si>
  <si>
    <t>8.0（32.0×25%）</t>
  </si>
  <si>
    <t>1.0×1.1=1.1</t>
  </si>
  <si>
    <t>1.实施方式：采购配置型，功能涵盖供应链核心业务场景，符合标准功能包（15-30万/年），取值32.0万；2.实施服务费：按许可费25%核算；3.数据服务：现有数据基础较好，少量清洗工作；4.基础设施：优先使用现有服务器；5.浮动系数：需求明确（1.0），需对接2-3个内部系统（1.1）。</t>
  </si>
  <si>
    <t>19.5（A2简单）</t>
  </si>
  <si>
    <t>7.5（开发费×38%）</t>
  </si>
  <si>
    <t>1.0×1.0=1.0</t>
  </si>
  <si>
    <t>1.实施方式：定制开发，功能明确，集成点少，属简单定制开发（4.5-9万），实际19.5万；2.实施服务费：按开发费38%核算，包含系统配置和初始化；3.数据服务：3.0万用于基础数据处理；4.基础设施：无需新增；5.浮动系数：需求清晰（1.0），简单集成（1.0）。</t>
  </si>
  <si>
    <t>35.0（A2复杂）</t>
  </si>
  <si>
    <t>14.0（开发费×40%）</t>
  </si>
  <si>
    <t>1.3×1.5=1.95</t>
  </si>
  <si>
    <t>1.实施方式：定制开发，深度依赖大模型能力，包含RAG智能体或多模型决策，属复杂开发（22.5-45万），实际35.0万；2.实施服务费：按开发费40%核算，含大量定制化开发和调试；3.数据服务：10.5万用于高质量数据准备和模型训练；4.基础设施：10.5万用于GPU计算资源扩容；5.浮动系数：需求需探索（1.3），复杂多系统集成（1.5）。</t>
  </si>
  <si>
    <t>32.5（A2复杂）</t>
  </si>
  <si>
    <t>13.0（开发费×40%）</t>
  </si>
  <si>
    <t>1.实施方式：定制开发，深度依赖大模型能力，包含RAG智能体或多模型决策，属复杂开发（22.5-45万），实际32.5万；2.实施服务费：按开发费40%核算，含大量定制化开发和调试；3.数据服务：9.8万用于高质量数据准备和模型训练；4.基础设施：9.8万用于GPU计算资源扩容；5.浮动系数：需求需探索（1.3），复杂多系统集成（1.5）。</t>
  </si>
  <si>
    <t>35.0（A2中等）</t>
  </si>
  <si>
    <t>15.0（开发费×43%）</t>
  </si>
  <si>
    <t>1.1×1.2=1.32</t>
  </si>
  <si>
    <t>1.实施方式：定制开发，包含1个核心AI模型应用与调优，属中等复杂度（9-22.5万），实际35.0万；2.实施服务费：按开发费43%核算，含模型训练和优化；3.数据服务：9.0万用于数据清洗和标注；4.基础设施：现有资源足够；5.浮动系数：部分细节待定（1.1），中等集成复杂度（1.2）。</t>
  </si>
  <si>
    <t>45.1（A1高级功能包）</t>
  </si>
  <si>
    <t>8.2（45.1×18%）</t>
  </si>
  <si>
    <t>1.0×1.2=1.2</t>
  </si>
  <si>
    <t>1.实施方式：采购配置型，包含行业特定高级模块，符合高级功能包（30-50万/年），取值45.1万；2.实施服务费：按许可费18%核算，包含私有化部署和培训；3.数据服务：需要数据标准化和质量提升，预算1.6万；4.基础设施：使用现有资源；5.浮动系数：需求明确（1.0），复杂集成多个业务系统（1.2）。</t>
  </si>
  <si>
    <t>36.0（A1标准功能包）</t>
  </si>
  <si>
    <t>9.0（36.0×25%）</t>
  </si>
  <si>
    <t>1.实施方式：采购配置型，功能涵盖供应链核心业务场景，符合标准功能包（15-30万/年），取值36.0万；2.实施服务费：按许可费25%核算；3.数据服务：现有数据基础较好，少量清洗工作；4.基础设施：优先使用现有服务器；5.浮动系数：需求明确（1.0），需对接2-3个内部系统（1.1）。</t>
  </si>
  <si>
    <t>16.2（A2简单）</t>
  </si>
  <si>
    <t>6.2（开发费×38%）</t>
  </si>
  <si>
    <t>1.实施方式：定制开发，功能明确，集成点少，属简单定制开发（4.5-9万），实际16.2万；2.实施服务费：按开发费38%核算，包含系统配置和初始化；3.数据服务：2.5万用于基础数据处理；4.基础设施：无需新增；5.浮动系数：需求清晰（1.0），简单集成（1.0）。</t>
  </si>
  <si>
    <t>21.0（A2中等）</t>
  </si>
  <si>
    <t>8.8（开发费×42%）</t>
  </si>
  <si>
    <t>1.实施方式：定制开发，包含1个核心AI模型应用与调优，属中等复杂度（9-22.5万），实际21.0万；2.实施服务费：按开发费42%核算，含模型训练和优化；3.数据服务：5.2万用于数据清洗和标注；4.基础设施：现有资源足够；5.浮动系数：部分细节待定（1.1），中等集成复杂度（1.2）。</t>
  </si>
  <si>
    <t>30.0（A2中等）</t>
  </si>
  <si>
    <t>12.5（开发费×42%）</t>
  </si>
  <si>
    <t>1.实施方式：定制开发，包含1个核心AI模型应用与调优，属中等复杂度（9-22.5万），实际30.0万；2.实施服务费：按开发费42%核算，含模型训练和优化；3.数据服务：7.5万用于数据清洗和标注；4.基础设施：现有资源足够；5.浮动系数：部分细节待定（1.1），中等集成复杂度（1.2）。</t>
  </si>
  <si>
    <t>28.0（A1标准功能包）</t>
  </si>
  <si>
    <t>7.0（28.0×25%）</t>
  </si>
  <si>
    <t>1.实施方式：采购配置型，功能涵盖供应链核心业务场景，符合标准功能包（15-30万/年），取值28.0万；2.实施服务费：按许可费25%核算；3.数据服务：现有数据基础较好，少量清洗工作；4.基础设施：优先使用现有服务器；5.浮动系数：需求明确（1.0），需对接2-3个内部系统（1.1）。</t>
  </si>
  <si>
    <t>27.0（A2中等）</t>
  </si>
  <si>
    <t>11.2（开发费×42%）</t>
  </si>
  <si>
    <t>1.实施方式：定制开发，包含1个核心AI模型应用与调优，属中等复杂度（9-22.5万），实际27.0万；2.实施服务费：按开发费42%核算，含模型训练和优化；3.数据服务：6.8万用于数据清洗和标注；4.基础设施：现有资源足够；5.浮动系数：部分细节待定（1.1），中等集成复杂度（1.2）。</t>
  </si>
  <si>
    <t>13.0（A2简单）</t>
  </si>
  <si>
    <t>5.0（开发费×38%）</t>
  </si>
  <si>
    <t>1.实施方式：定制开发，功能明确，集成点少，属简单定制开发（4.5-9万），实际13.0万；2.实施服务费：按开发费38%核算，包含系统配置和初始化；3.数据服务：2.0万用于基础数据处理；4.基础设施：无需新增；5.浮动系数：需求清晰（1.0），简单集成（1.0）。</t>
  </si>
  <si>
    <t>61.5（A1高级功能包）</t>
  </si>
  <si>
    <t>11.2（61.5×18%）</t>
  </si>
  <si>
    <t>1.实施方式：采购配置型，包含行业特定高级模块，符合高级功能包（30-50万/年），取值61.5万；2.实施服务费：按许可费18%核算，包含私有化部署和培训；3.数据服务：需要数据标准化和质量提升，预算2.2万；4.基础设施：使用现有资源；5.浮动系数：需求明确（1.0），复杂集成多个业务系统（1.2）。</t>
  </si>
  <si>
    <t>37.5（A2复杂）</t>
  </si>
  <si>
    <t>15.0（开发费×40%）</t>
  </si>
  <si>
    <t>1.实施方式：定制开发，深度依赖大模型能力，包含RAG智能体或多模型决策，属复杂开发（22.5-45万），实际37.5万；2.实施服务费：按开发费40%核算，含大量定制化开发和调试；3.数据服务：11.2万用于高质量数据准备和模型训练；4.基础设施：11.2万用于GPU计算资源扩容；5.浮动系数：需求需探索（1.3），复杂多系统集成（1.5）。</t>
  </si>
  <si>
    <t>33.0（A2中等）</t>
  </si>
  <si>
    <t>13.8（开发费×42%）</t>
  </si>
  <si>
    <t>1.实施方式：定制开发，包含1个核心AI模型应用与调优，属中等复杂度（9-22.5万），实际33.0万；2.实施服务费：按开发费42%核算，含模型训练和优化；3.数据服务：8.2万用于数据清洗和标注；4.基础设施：现有资源足够；5.浮动系数：部分细节待定（1.1），中等集成复杂度（1.2）。</t>
  </si>
  <si>
    <t>45.0（A2复杂）</t>
  </si>
  <si>
    <t>19.0（开发费×42%）</t>
  </si>
  <si>
    <t>1.实施方式：定制开发，深度依赖大模型能力，包含RAG智能体或多模型决策，属复杂开发（22.5-45万），实际45.0万；2.实施服务费：按开发费42%核算，含大量定制化开发和调试；3.数据服务：14.2万用于高质量数据准备和模型训练；4.基础设施：16.8万用于GPU计算资源扩容；5.浮动系数：需求需探索（1.3），复杂多系统集成（1.5）。</t>
  </si>
  <si>
    <t>23.2（A1标准功能包）</t>
  </si>
  <si>
    <t>5.8（23.2×25%）</t>
  </si>
  <si>
    <t>1.实施方式：采购配置型，功能涵盖运营管理核心业务场景，符合标准功能包（15-30万/年），取值23.2万；2.实施服务费：按许可费25%核算；3.数据服务：现有数据基础较好，少量清洗工作；4.基础设施：优先使用现有服务器；5.浮动系数：需求明确（1.0），需对接2-3个内部系统（1.1）。</t>
  </si>
  <si>
    <t>25.0（开发费×56%）</t>
  </si>
  <si>
    <t>1.实施方式：定制开发，深度依赖大模型能力，包含RAG智能体或多模型决策，属复杂开发（22.5-45万），实际45.0万；2.实施服务费：按开发费56%核算，含大量定制化开发和调试；3.数据服务：15.0万用于高质量数据准备和模型训练；4.基础设施：40.0万用于GPU计算资源扩容；5.浮动系数：需求需探索（1.3），复杂多系统集成（1.5）。</t>
  </si>
  <si>
    <t>24.0（A2中等）</t>
  </si>
  <si>
    <t>10.0（开发费×42%）</t>
  </si>
  <si>
    <t>1.实施方式：定制开发，包含1个核心AI模型应用与调优，属中等复杂度（9-22.5万），实际24.0万；2.实施服务费：按开发费42%核算，含模型训练和优化；3.数据服务：6.0万用于数据清洗和标注；4.基础设施：现有资源足够；5.浮动系数：部分细节待定（1.1），中等集成复杂度（1.2）。</t>
  </si>
  <si>
    <t>22.0（开发费×49%）</t>
  </si>
  <si>
    <t>1.实施方式：定制开发，深度依赖大模型能力，包含RAG智能体或多模型决策，属复杂开发（22.5-45万），实际45.0万；2.实施服务费：按开发费49%核算，含大量定制化开发和调试；3.数据服务：15.0万用于高质量数据准备和模型训练；4.基础设施：28.0万用于GPU计算资源扩容；5.浮动系数：需求需探索（1.3），复杂多系统集成（1.5）。</t>
  </si>
  <si>
    <t>18.8（A1基础功能包）</t>
  </si>
  <si>
    <t>6.2（18.8×33%）</t>
  </si>
  <si>
    <t>1.0</t>
  </si>
  <si>
    <t>1.实施方式：采购配置型，基础功能需求，符合基础功能包（5-15万/年），取值18.8万；2.实施服务费：按许可费33%核算（行业常规区间30%-50%）；3.数据服务：基于现有数据结构，无需额外处理；4.基础设施：利用现有服务器资源；5.浮动系数：需求明确（1.0），标准集成（1.0）。</t>
  </si>
  <si>
    <t>1.实施方式：采购配置型，功能涵盖零售核心业务场景，符合标准功能包（15-30万/年），取值36.0万；2.实施服务费：按许可费25%核算；3.数据服务：现有数据基础较好，少量清洗工作；4.基础设施：优先使用现有服务器；5.浮动系数：需求明确（1.0），需对接2-3个内部系统（1.1）。</t>
  </si>
  <si>
    <t>24.0（A1标准功能包）</t>
  </si>
  <si>
    <t>6.0（24.0×25%）</t>
  </si>
  <si>
    <t>1.实施方式：采购配置型，功能涵盖运营管理核心业务场景，符合标准功能包（15-30万/年），取值24.0万；2.实施服务费：按许可费25%核算；3.数据服务：现有数据基础较好，少量清洗工作；4.基础设施：优先使用现有服务器；5.浮动系数：需求明确（1.0），需对接2-3个内部系统（1.1）。</t>
  </si>
  <si>
    <t>40.0（A1标准功能包）</t>
  </si>
  <si>
    <t>10.0（40.0×25%）</t>
  </si>
  <si>
    <t>1.实施方式：采购配置型，功能涵盖运营管理核心业务场景，符合标准功能包（15-30万/年），取值40.0万；2.实施服务费：按许可费25%核算；3.数据服务：现有数据基础较好，少量清洗工作；4.基础设施：优先使用现有服务器；5.浮动系数：需求明确（1.0），需对接2-3个内部系统（1.1）。</t>
  </si>
  <si>
    <t>1.实施方式：采购配置型，功能涵盖运营管理核心业务场景，符合标准功能包（15-30万/年），取值28.0万；2.实施服务费：按许可费25%核算；3.数据服务：现有数据基础较好，少量清洗工作；4.基础设施：优先使用现有服务器；5.浮动系数：需求明确（1.0），需对接2-3个内部系统（1.1）。</t>
  </si>
  <si>
    <t>18.0（开发费×40%）</t>
  </si>
  <si>
    <t>1.实施方式：定制开发，深度依赖大模型能力，包含RAG智能体或多模型决策，属复杂开发（22.5-45万），实际45.0万；2.实施服务费：按开发费40%核算，含大量定制化开发和调试；3.数据服务：13.5万用于高质量数据准备和模型训练；4.基础设施：13.5万用于GPU计算资源扩容；5.浮动系数：需求需探索（1.3），复杂多系统集成（1.5）。</t>
  </si>
  <si>
    <t>27.6（A2中等）</t>
  </si>
  <si>
    <t>11.5（开发费×42%）</t>
  </si>
  <si>
    <t>1.实施方式：定制开发，包含1个核心AI模型应用与调优，属中等复杂度（9-22.5万），实际27.6万；2.实施服务费：按开发费42%核算，含模型训练和优化；3.数据服务：6.9万用于数据清洗和标注；4.基础设施：现有资源足够；5.浮动系数：部分细节待定（1.1），中等集成复杂度（1.2）。</t>
  </si>
  <si>
    <t>1.2×1.0=1.2</t>
  </si>
  <si>
    <t>1.实施方式：定制开发，深度依赖大模型能力，需要多源数据整合和知识图谱构建，属复杂开发。2.数据服务费8万用于外部数据源接入和处理。3.浮动系数：需求复杂度中等(1.2)×集成复杂度标准(1.0)。</t>
  </si>
  <si>
    <t>18.0（A2中等）</t>
  </si>
  <si>
    <t>1.实施方式：定制开发，包含NLP和规则引擎应用，政策解析相对标准化，属中等复杂开发。2.浮动系数：需求明确度高(1.0)×集成复杂度标准(1.0)。</t>
  </si>
  <si>
    <t>1.实施方式：定制开发，医保政策分析有一定模式可循，属中等复杂开发。2.浮动系数：需求明确度高(1.0)×集成复杂度标准(1.0)。</t>
  </si>
  <si>
    <t>15.0（A1标准功能包）</t>
  </si>
  <si>
    <t>4.5（15.0×30%）</t>
  </si>
  <si>
    <t>1.0×1.3=1.3</t>
  </si>
  <si>
    <t>1.实施方式：采购配置型，OCR和图像识别技术成熟，属标准功能包（15-30万/年）。2.服务费按许可费30%计算。3.浮动系数：需求明确度高(1.0)×集成复杂度中等(1.3)。</t>
  </si>
  <si>
    <t>25.0（A2中等）</t>
  </si>
  <si>
    <t>1.实施方式：定制开发，多货主协调调度需要复杂算法但有成熟的运筹优化理论支持，属中等复杂开发。2.浮动系数：需求明确度高(1.0)×集成复杂度标准(1.0)。</t>
  </si>
  <si>
    <t>20.0（A1标准功能包）</t>
  </si>
  <si>
    <t>7.0（20.0×35%）</t>
  </si>
  <si>
    <t>1.0×1.35=1.35</t>
  </si>
  <si>
    <t>1.实施方式：采购配置型，安全监控技术相对成熟，属标准功能包。2.服务费按许可费35%计算。3.浮动系数：需求明确度高(1.0)×集成复杂度中等(1.35)。</t>
  </si>
  <si>
    <t>1.实施方式：定制开发，需要复杂的数据分析和预测建模，涉及多维度数据整合，属复杂开发。2.数据服务费8万用于数据清洗和模型训练。3.浮动系数：需求复杂度中等(1.2)×集成复杂度标准(1.0)。</t>
  </si>
  <si>
    <t>20.0（A2中等）</t>
  </si>
  <si>
    <t>1.实施方式：定制开发，投资项目跟踪和预警功能相对标准化，属中等复杂开发。2.浮动系数：需求明确度高(1.0)×集成复杂度标准(1.0)。</t>
  </si>
  <si>
    <t>1.实施方式：定制开发，处方真实性校验涉及医疗行业特定规则，需要定制化开发，属中等复杂。2.浮动系数：需求明确度高(1.0)×集成复杂度标准(1.0)。</t>
  </si>
  <si>
    <t>1.实施方式：采购配置型，HR风险预警有成熟产品，属标准功能包。2.服务费按许可费30%计算。3.浮动系数：需求明确度高(1.0)×集成复杂度中等(1.3)。</t>
  </si>
  <si>
    <t>25.0（A1标准功能包）</t>
  </si>
  <si>
    <t>10.0（25.0×40%）</t>
  </si>
  <si>
    <t>1.0×1.4=1.4</t>
  </si>
  <si>
    <t>1.实施方式：采购配置型，企业安全隐患识别技术成熟但功能较复杂，属标准功能包高端。2.服务费按许可费40%计算。3.浮动系数：需求明确度高(1.0)×集成复杂度较高(1.4)。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</si>
</sst>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1"/>
      <name val="宋体"/>
      <charset val="134"/>
      <scheme val="minor"/>
    </font>
    <font>
      <sz val="11"/>
      <color theme="1"/>
      <name val="宋体"/>
      <charset val="134"/>
    </font>
    <font>
      <b/>
      <sz val="11"/>
      <color theme="1"/>
      <name val="宋体"/>
      <charset val="134"/>
      <scheme val="minor"/>
    </font>
    <font>
      <sz val="11"/>
      <color rgb="FFFF0000"/>
      <name val="宋体"/>
      <charset val="134"/>
      <scheme val="minor"/>
    </font>
    <font>
      <b/>
      <sz val="11"/>
      <color rgb="FF0F1115"/>
      <name val="宋体"/>
      <charset val="134"/>
    </font>
    <font>
      <sz val="11"/>
      <color rgb="FF0F1115"/>
      <name val="宋体"/>
      <charset val="134"/>
    </font>
    <font>
      <i/>
      <sz val="11"/>
      <color rgb="FF0F1115"/>
      <name val="宋体"/>
      <charset val="134"/>
    </font>
    <font>
      <b/>
      <sz val="11"/>
      <color theme="0"/>
      <name val="宋体"/>
      <charset val="134"/>
      <scheme val="minor"/>
    </font>
    <font>
      <sz val="11"/>
      <color theme="0"/>
      <name val="宋体"/>
      <charset val="134"/>
      <scheme val="minor"/>
    </font>
    <font>
      <sz val="14"/>
      <color theme="1"/>
      <name val="宋体"/>
      <charset val="134"/>
      <scheme val="minor"/>
    </font>
    <font>
      <sz val="14"/>
      <name val="宋体"/>
      <charset val="134"/>
      <scheme val="minor"/>
    </font>
    <font>
      <sz val="14"/>
      <color theme="1"/>
      <name val="微软雅黑"/>
      <charset val="134"/>
    </font>
    <font>
      <sz val="14"/>
      <name val="微软雅黑"/>
      <charset val="134"/>
    </font>
    <font>
      <sz val="14"/>
      <color rgb="FFFF0000"/>
      <name val="微软雅黑"/>
      <charset val="134"/>
    </font>
    <font>
      <sz val="14"/>
      <color rgb="FF80008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F1115"/>
      <name val="Segoe UI"/>
      <charset val="134"/>
    </font>
    <font>
      <sz val="12"/>
      <color rgb="FF0F1115"/>
      <name val="宋体"/>
      <charset val="134"/>
    </font>
    <font>
      <sz val="9"/>
      <name val="宋体"/>
      <charset val="134"/>
    </font>
    <font>
      <b/>
      <sz val="9"/>
      <name val="宋体"/>
      <charset val="134"/>
    </font>
  </fonts>
  <fills count="4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4"/>
        <bgColor indexed="64"/>
      </patternFill>
    </fill>
    <fill>
      <patternFill patternType="solid">
        <fgColor theme="6"/>
        <bgColor indexed="64"/>
      </patternFill>
    </fill>
    <fill>
      <patternFill patternType="solid">
        <fgColor theme="0" tint="-0.35"/>
        <bgColor indexed="64"/>
      </patternFill>
    </fill>
    <fill>
      <patternFill patternType="solid">
        <fgColor theme="4" tint="0.8"/>
        <bgColor indexed="64"/>
      </patternFill>
    </fill>
    <fill>
      <patternFill patternType="solid">
        <fgColor theme="8" tint="0.8"/>
        <bgColor indexed="64"/>
      </patternFill>
    </fill>
    <fill>
      <patternFill patternType="solid">
        <fgColor rgb="FF92D05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11" borderId="1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5" applyNumberFormat="0" applyFill="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3" fillId="0" borderId="0" applyNumberFormat="0" applyFill="0" applyBorder="0" applyAlignment="0" applyProtection="0">
      <alignment vertical="center"/>
    </xf>
    <xf numFmtId="0" fontId="24" fillId="12" borderId="17" applyNumberFormat="0" applyAlignment="0" applyProtection="0">
      <alignment vertical="center"/>
    </xf>
    <xf numFmtId="0" fontId="25" fillId="13" borderId="18" applyNumberFormat="0" applyAlignment="0" applyProtection="0">
      <alignment vertical="center"/>
    </xf>
    <xf numFmtId="0" fontId="26" fillId="13" borderId="17" applyNumberFormat="0" applyAlignment="0" applyProtection="0">
      <alignment vertical="center"/>
    </xf>
    <xf numFmtId="0" fontId="27" fillId="14" borderId="19" applyNumberFormat="0" applyAlignment="0" applyProtection="0">
      <alignment vertical="center"/>
    </xf>
    <xf numFmtId="0" fontId="28" fillId="0" borderId="20" applyNumberFormat="0" applyFill="0" applyAlignment="0" applyProtection="0">
      <alignment vertical="center"/>
    </xf>
    <xf numFmtId="0" fontId="29" fillId="0" borderId="21" applyNumberFormat="0" applyFill="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4"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5"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cellStyleXfs>
  <cellXfs count="94">
    <xf numFmtId="0" fontId="0" fillId="0" borderId="0" xfId="0"/>
    <xf numFmtId="0" fontId="1"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0" fillId="0" borderId="0" xfId="0" applyFill="1"/>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3" fillId="0" borderId="1" xfId="0" applyFont="1" applyBorder="1"/>
    <xf numFmtId="0" fontId="0" fillId="0" borderId="1" xfId="0" applyBorder="1"/>
    <xf numFmtId="0" fontId="0" fillId="0" borderId="1" xfId="0" applyBorder="1" applyAlignment="1">
      <alignment wrapText="1"/>
    </xf>
    <xf numFmtId="0" fontId="4" fillId="0" borderId="1" xfId="0" applyFont="1" applyBorder="1" applyAlignment="1">
      <alignment wrapText="1"/>
    </xf>
    <xf numFmtId="0" fontId="5" fillId="2" borderId="1" xfId="0" applyFont="1" applyFill="1" applyBorder="1" applyAlignment="1">
      <alignment horizontal="left" wrapText="1"/>
    </xf>
    <xf numFmtId="0" fontId="6" fillId="2" borderId="2" xfId="0" applyFont="1" applyFill="1" applyBorder="1" applyAlignment="1">
      <alignment horizontal="left" vertical="center" wrapText="1"/>
    </xf>
    <xf numFmtId="0" fontId="6" fillId="2" borderId="1" xfId="0" applyFont="1" applyFill="1" applyBorder="1" applyAlignment="1">
      <alignment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7" fillId="2" borderId="1" xfId="0" applyFont="1" applyFill="1" applyBorder="1" applyAlignment="1">
      <alignment wrapText="1"/>
    </xf>
    <xf numFmtId="58" fontId="6" fillId="2" borderId="1" xfId="0" applyNumberFormat="1" applyFont="1" applyFill="1" applyBorder="1" applyAlignment="1">
      <alignment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10" xfId="0" applyFont="1" applyFill="1" applyBorder="1" applyAlignment="1">
      <alignment horizontal="left" vertical="center" wrapText="1"/>
    </xf>
    <xf numFmtId="49" fontId="6" fillId="2" borderId="1" xfId="0" applyNumberFormat="1" applyFont="1" applyFill="1" applyBorder="1" applyAlignment="1">
      <alignment vertical="center" wrapText="1"/>
    </xf>
    <xf numFmtId="49" fontId="6" fillId="2" borderId="1" xfId="0" applyNumberFormat="1" applyFont="1" applyFill="1" applyBorder="1" applyAlignment="1">
      <alignment horizontal="left" vertical="center" wrapText="1"/>
    </xf>
    <xf numFmtId="0" fontId="0" fillId="0" borderId="0" xfId="0" applyAlignment="1">
      <alignment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wrapText="1"/>
    </xf>
    <xf numFmtId="0" fontId="3" fillId="3" borderId="1" xfId="0" applyFont="1" applyFill="1" applyBorder="1" applyAlignment="1">
      <alignment horizontal="left" vertical="center"/>
    </xf>
    <xf numFmtId="0" fontId="0" fillId="3" borderId="1" xfId="0"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4"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8" fillId="4" borderId="1" xfId="0" applyFont="1" applyFill="1" applyBorder="1" applyAlignment="1">
      <alignment horizontal="center"/>
    </xf>
    <xf numFmtId="0" fontId="0" fillId="0" borderId="1" xfId="0" applyBorder="1" applyAlignment="1">
      <alignment horizontal="center"/>
    </xf>
    <xf numFmtId="0" fontId="8" fillId="5" borderId="1" xfId="0" applyFont="1" applyFill="1" applyBorder="1" applyAlignment="1">
      <alignment horizontal="center"/>
    </xf>
    <xf numFmtId="0" fontId="0" fillId="4" borderId="1" xfId="0" applyFill="1" applyBorder="1" applyAlignment="1">
      <alignment horizontal="center"/>
    </xf>
    <xf numFmtId="0" fontId="8" fillId="6" borderId="1" xfId="0" applyFont="1" applyFill="1" applyBorder="1" applyAlignment="1">
      <alignment horizontal="center"/>
    </xf>
    <xf numFmtId="0" fontId="9" fillId="6" borderId="1" xfId="0" applyFont="1" applyFill="1" applyBorder="1" applyAlignment="1">
      <alignment horizontal="center"/>
    </xf>
    <xf numFmtId="0" fontId="8" fillId="6" borderId="1" xfId="0" applyFont="1" applyFill="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10" fillId="0" borderId="0" xfId="0" applyFont="1" applyAlignment="1">
      <alignment vertical="center" wrapText="1"/>
    </xf>
    <xf numFmtId="0" fontId="11" fillId="0" borderId="0" xfId="0" applyFont="1" applyAlignment="1">
      <alignment vertical="center"/>
    </xf>
    <xf numFmtId="0" fontId="10" fillId="0" borderId="0" xfId="0" applyFont="1" applyFill="1" applyAlignment="1">
      <alignment vertical="center"/>
    </xf>
    <xf numFmtId="0" fontId="0" fillId="0" borderId="0" xfId="0" applyFill="1" applyAlignment="1">
      <alignment vertical="center"/>
    </xf>
    <xf numFmtId="0" fontId="10" fillId="7" borderId="0" xfId="0" applyFont="1" applyFill="1" applyAlignment="1">
      <alignment vertical="center"/>
    </xf>
    <xf numFmtId="0" fontId="11" fillId="0" borderId="0" xfId="0" applyFont="1" applyFill="1" applyAlignment="1">
      <alignment vertical="center"/>
    </xf>
    <xf numFmtId="0" fontId="11" fillId="8" borderId="0" xfId="0" applyFont="1" applyFill="1" applyAlignment="1">
      <alignment vertical="center"/>
    </xf>
    <xf numFmtId="0" fontId="10" fillId="8" borderId="0" xfId="0" applyFont="1" applyFill="1" applyAlignment="1">
      <alignment vertical="center"/>
    </xf>
    <xf numFmtId="0" fontId="11" fillId="7" borderId="0" xfId="0" applyFont="1" applyFill="1" applyAlignment="1">
      <alignment vertical="center"/>
    </xf>
    <xf numFmtId="0" fontId="10" fillId="0" borderId="0" xfId="0" applyFont="1" applyAlignment="1">
      <alignment horizontal="left" vertical="center"/>
    </xf>
    <xf numFmtId="0" fontId="10" fillId="0" borderId="0" xfId="0" applyFont="1" applyFill="1" applyAlignment="1">
      <alignment horizontal="left" vertical="center"/>
    </xf>
    <xf numFmtId="0" fontId="10" fillId="0" borderId="0" xfId="0" applyFont="1" applyAlignment="1">
      <alignment horizontal="left" vertical="center" wrapText="1"/>
    </xf>
    <xf numFmtId="0" fontId="10" fillId="0" borderId="0" xfId="0" applyFont="1" applyAlignment="1">
      <alignment vertical="center"/>
    </xf>
    <xf numFmtId="0" fontId="12" fillId="9" borderId="0" xfId="0" applyFont="1" applyFill="1" applyAlignment="1">
      <alignment horizontal="left" vertical="center" wrapText="1"/>
    </xf>
    <xf numFmtId="0" fontId="12" fillId="9"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Fill="1" applyBorder="1" applyAlignment="1">
      <alignment horizontal="left" vertical="center"/>
    </xf>
    <xf numFmtId="0" fontId="12" fillId="0" borderId="1" xfId="0" applyFont="1" applyBorder="1" applyAlignment="1">
      <alignment horizontal="left" vertical="center" wrapText="1"/>
    </xf>
    <xf numFmtId="0" fontId="12" fillId="0" borderId="1" xfId="0" applyNumberFormat="1" applyFont="1" applyBorder="1" applyAlignment="1">
      <alignment horizontal="left" vertical="center" wrapText="1"/>
    </xf>
    <xf numFmtId="0" fontId="12" fillId="0" borderId="1" xfId="0" applyFont="1" applyFill="1" applyBorder="1" applyAlignment="1">
      <alignment horizontal="left" vertical="center" wrapText="1"/>
    </xf>
    <xf numFmtId="0" fontId="13" fillId="0" borderId="1" xfId="0" applyFont="1" applyFill="1" applyBorder="1" applyAlignment="1">
      <alignment horizontal="left" vertical="center"/>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3" fillId="0" borderId="1" xfId="0" applyFont="1" applyFill="1" applyBorder="1" applyAlignment="1">
      <alignment horizontal="left" vertical="center" wrapText="1"/>
    </xf>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0" fontId="13" fillId="7"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12" fillId="7" borderId="1" xfId="0" applyFont="1" applyFill="1" applyBorder="1" applyAlignment="1">
      <alignment horizontal="left" vertical="center" wrapText="1"/>
    </xf>
    <xf numFmtId="0" fontId="12" fillId="3" borderId="1" xfId="0" applyFont="1" applyFill="1" applyBorder="1" applyAlignment="1">
      <alignment horizontal="left" vertical="center"/>
    </xf>
    <xf numFmtId="0" fontId="12" fillId="3" borderId="1" xfId="0" applyFont="1" applyFill="1" applyBorder="1" applyAlignment="1">
      <alignment horizontal="left" vertical="center" wrapText="1"/>
    </xf>
    <xf numFmtId="0" fontId="12" fillId="0" borderId="1" xfId="0" applyNumberFormat="1"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0" borderId="1" xfId="0" applyNumberFormat="1" applyFont="1" applyFill="1" applyBorder="1" applyAlignment="1">
      <alignment horizontal="left" vertical="center"/>
    </xf>
    <xf numFmtId="0" fontId="12" fillId="7" borderId="1" xfId="0" applyFont="1" applyFill="1" applyBorder="1" applyAlignment="1">
      <alignment horizontal="left" vertical="center"/>
    </xf>
    <xf numFmtId="0" fontId="12" fillId="7" borderId="1" xfId="0" applyNumberFormat="1" applyFont="1" applyFill="1" applyBorder="1" applyAlignment="1">
      <alignment horizontal="left" vertical="center"/>
    </xf>
    <xf numFmtId="0" fontId="15" fillId="0" borderId="1" xfId="0" applyFont="1" applyFill="1" applyBorder="1" applyAlignment="1">
      <alignment horizontal="left" vertical="center" wrapText="1"/>
    </xf>
    <xf numFmtId="0" fontId="14" fillId="0" borderId="1" xfId="0" applyFont="1" applyFill="1" applyBorder="1" applyAlignment="1">
      <alignment horizontal="left" vertical="center"/>
    </xf>
    <xf numFmtId="0" fontId="14" fillId="0" borderId="1" xfId="0" applyFont="1" applyFill="1" applyBorder="1" applyAlignment="1">
      <alignment horizontal="left" vertical="center" wrapText="1"/>
    </xf>
    <xf numFmtId="0" fontId="12" fillId="0" borderId="1" xfId="0" applyNumberFormat="1" applyFont="1" applyBorder="1" applyAlignment="1">
      <alignment horizontal="left" vertical="center"/>
    </xf>
    <xf numFmtId="0" fontId="13" fillId="7" borderId="1" xfId="0" applyFont="1" applyFill="1" applyBorder="1" applyAlignment="1">
      <alignment horizontal="left" vertical="center"/>
    </xf>
    <xf numFmtId="0" fontId="13" fillId="7" borderId="1" xfId="0" applyNumberFormat="1"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6" Type="http://schemas.openxmlformats.org/officeDocument/2006/relationships/worksheet" Target="worksheets/sheet6.xml"/><Relationship Id="rId11" Type="http://schemas.openxmlformats.org/officeDocument/2006/relationships/worksheet" Target="worksheets/sheet1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9" Type="http://schemas.openxmlformats.org/officeDocument/2006/relationships/worksheet" Target="worksheets/sheet9.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ding.cn/center/664141.html" TargetMode="External"/><Relationship Id="rId85" Type="http://schemas.openxmlformats.org/officeDocument/2006/relationships/hyperlink" Target="https://www.derbysoft.com/cn/derbysoft-ai-mapping/" TargetMode="External"/><Relationship Id="rId84" Type="http://schemas.openxmlformats.org/officeDocument/2006/relationships/hyperlink" Target="https://www.ciotimes.com/txhhd/222932.html" TargetMode="External"/><Relationship Id="rId83" Type="http://schemas.openxmlformats.org/officeDocument/2006/relationships/hyperlink" Target="http://m.toutiao.com/group/7530454372053729818/" TargetMode="External"/><Relationship Id="rId82" Type="http://schemas.openxmlformats.org/officeDocument/2006/relationships/hyperlink" Target="https://www.zgcznet.com/pub/cjzzs/yhfw/gkcx/gkcxcwykj/cwkj2217/cwkj2217/202210/20221027/j_2022102716541500016668609887296840.html" TargetMode="External"/><Relationship Id="rId81" Type="http://schemas.openxmlformats.org/officeDocument/2006/relationships/hyperlink" Target="https://xuper.baidu.com/n/xuperdoc/developing_apps/dapps/scf.html" TargetMode="External"/><Relationship Id="rId80" Type="http://schemas.openxmlformats.org/officeDocument/2006/relationships/hyperlink" Target="https://news.iresearch.cn/yx/2025/04/523240.shtml" TargetMode="External"/><Relationship Id="rId8" Type="http://schemas.openxmlformats.org/officeDocument/2006/relationships/hyperlink" Target="https://www.huoban.com/yx-jiaocheng/5lZADmm0Vvl4AYQE.html" TargetMode="External"/><Relationship Id="rId79" Type="http://schemas.openxmlformats.org/officeDocument/2006/relationships/hyperlink" Target="https://www.seeyon.com/News/desc/id/7697/typeid/index.php.html" TargetMode="External"/><Relationship Id="rId78" Type="http://schemas.openxmlformats.org/officeDocument/2006/relationships/hyperlink" Target="https://jyyxy.hmc.edu.cn/art/2025/9/25/art_1412_169120.html" TargetMode="External"/><Relationship Id="rId77" Type="http://schemas.openxmlformats.org/officeDocument/2006/relationships/hyperlink" Target="https://www.qlwb.com.cn/detail/25744570.html" TargetMode="External"/><Relationship Id="rId76" Type="http://schemas.openxmlformats.org/officeDocument/2006/relationships/hyperlink" Target="https://www.163.com/dy/article/JTP4K1TM05532EJS.html" TargetMode="External"/><Relationship Id="rId75" Type="http://schemas.openxmlformats.org/officeDocument/2006/relationships/hyperlink" Target="https://h5.ifeng.com/c/vivo/v002C7LWdK6Kc3A8F2TCc0OeitXqKWlFdb-_9qTKfsOkXDuw" TargetMode="External"/><Relationship Id="rId74" Type="http://schemas.openxmlformats.org/officeDocument/2006/relationships/hyperlink" Target="https://finance.sina.com.cn/jjxw/2024-12-19/doc-inczyhfy0238937.shtml" TargetMode="External"/><Relationship Id="rId73" Type="http://schemas.openxmlformats.org/officeDocument/2006/relationships/hyperlink" Target="https://m.jrj.com.cn/madapter/finance/2025/02/17123948196598.shtml" TargetMode="External"/><Relationship Id="rId72" Type="http://schemas.openxmlformats.org/officeDocument/2006/relationships/hyperlink" Target="http://m.toutiao.com/group/7544320585560605247/" TargetMode="External"/><Relationship Id="rId71" Type="http://schemas.openxmlformats.org/officeDocument/2006/relationships/hyperlink" Target="http://www.chengyang.gov.cn/zfxxgk/bmfdgknr/dsjfzglj/ywflxxgk/xxzhcsjs/202203/t20220312_4816461.shtml" TargetMode="External"/><Relationship Id="rId70" Type="http://schemas.openxmlformats.org/officeDocument/2006/relationships/hyperlink" Target="http://www.ce.cn/cysc//yy/hydt/202503/21/t20250321_39327117.shtml" TargetMode="External"/><Relationship Id="rId7" Type="http://schemas.openxmlformats.org/officeDocument/2006/relationships/hyperlink" Target="https://m.thepaper.cn/baijiahao_31510254" TargetMode="External"/><Relationship Id="rId69" Type="http://schemas.openxmlformats.org/officeDocument/2006/relationships/hyperlink" Target="http://www.eracare.cn/" TargetMode="External"/><Relationship Id="rId68" Type="http://schemas.openxmlformats.org/officeDocument/2006/relationships/hyperlink" Target="https://stock.hexun.com/2025-10-20/221861282.html" TargetMode="External"/><Relationship Id="rId67" Type="http://schemas.openxmlformats.org/officeDocument/2006/relationships/hyperlink" Target="https://page.dingtalk.com/wow/tianyuan/act/toufang?wh_showError=true&amp;caseId=NTMzNw==" TargetMode="External"/><Relationship Id="rId66" Type="http://schemas.openxmlformats.org/officeDocument/2006/relationships/hyperlink" Target="https://www.sinostrong.com/article/2721.html" TargetMode="External"/><Relationship Id="rId65" Type="http://schemas.openxmlformats.org/officeDocument/2006/relationships/hyperlink" Target="https://m.hr-soft.cn/info/2025101135976.html" TargetMode="External"/><Relationship Id="rId64" Type="http://schemas.openxmlformats.org/officeDocument/2006/relationships/hyperlink" Target="http://shanxi.chinatax.gov.cn/son/detail/yq-11403-3393-1802036" TargetMode="External"/><Relationship Id="rId63" Type="http://schemas.openxmlformats.org/officeDocument/2006/relationships/hyperlink" Target="https://m.shushangyun.com/article-23262.html" TargetMode="External"/><Relationship Id="rId62" Type="http://schemas.openxmlformats.org/officeDocument/2006/relationships/hyperlink" Target="https://www.huashikai.com/" TargetMode="External"/><Relationship Id="rId61" Type="http://schemas.openxmlformats.org/officeDocument/2006/relationships/hyperlink" Target="https://www.guandata.com/gy/post/PTMAxsPm.html" TargetMode="External"/><Relationship Id="rId60" Type="http://schemas.openxmlformats.org/officeDocument/2006/relationships/hyperlink" Target="https://www.sinopharmgroup.com.cn/gykg/7/gksk/A006011002Gone1.html" TargetMode="External"/><Relationship Id="rId6" Type="http://schemas.openxmlformats.org/officeDocument/2006/relationships/hyperlink" Target="https://riskraider.com/case/guoyao.html" TargetMode="External"/><Relationship Id="rId59" Type="http://schemas.openxmlformats.org/officeDocument/2006/relationships/hyperlink" Target="https://www.dayee.com/newsDetail-316.html" TargetMode="External"/><Relationship Id="rId58" Type="http://schemas.openxmlformats.org/officeDocument/2006/relationships/hyperlink" Target="https://www.guandata.com/gy/post/BeCJaZ1w.html" TargetMode="External"/><Relationship Id="rId57" Type="http://schemas.openxmlformats.org/officeDocument/2006/relationships/hyperlink" Target="https://www.jdy.com/article/1965260489588027393.html" TargetMode="External"/><Relationship Id="rId56" Type="http://schemas.openxmlformats.org/officeDocument/2006/relationships/hyperlink" Target="http://m.toutiao.com/group/7537152861893968434" TargetMode="External"/><Relationship Id="rId55" Type="http://schemas.openxmlformats.org/officeDocument/2006/relationships/hyperlink" Target="https://m.sohu.com/a/920684862_121427489" TargetMode="External"/><Relationship Id="rId54" Type="http://schemas.openxmlformats.org/officeDocument/2006/relationships/hyperlink" Target="http://m.163.com/dy/article/KBEE16R30534Q32Z.html" TargetMode="External"/><Relationship Id="rId53" Type="http://schemas.openxmlformats.org/officeDocument/2006/relationships/hyperlink" Target="http://m.163.com/news/article/KBUCH6VG05568W0A.html" TargetMode="External"/><Relationship Id="rId52" Type="http://schemas.openxmlformats.org/officeDocument/2006/relationships/hyperlink" Target="http://m.163.com/dy/article/KBUCH6VG05568W0A.html" TargetMode="External"/><Relationship Id="rId51" Type="http://schemas.openxmlformats.org/officeDocument/2006/relationships/hyperlink" Target="https://www.cecc.org.cn/news/202212/570458.html" TargetMode="External"/><Relationship Id="rId50" Type="http://schemas.openxmlformats.org/officeDocument/2006/relationships/hyperlink" Target="https://health.gmw.cn/2024-05/28/content_37349109.htm" TargetMode="External"/><Relationship Id="rId5" Type="http://schemas.openxmlformats.org/officeDocument/2006/relationships/hyperlink" Target="https://www.yiqigou.com/" TargetMode="External"/><Relationship Id="rId49" Type="http://schemas.openxmlformats.org/officeDocument/2006/relationships/hyperlink" Target="https://www.nmpaic.org.cn/zhuanti/ypzhjgdxalzjhd/dxal/zhjgal_958/202405/t20240513_424342.html" TargetMode="External"/><Relationship Id="rId48" Type="http://schemas.openxmlformats.org/officeDocument/2006/relationships/hyperlink" Target="https://www.landseed.com.cn/news-list/view/433d9433088B" TargetMode="External"/><Relationship Id="rId47" Type="http://schemas.openxmlformats.org/officeDocument/2006/relationships/hyperlink" Target="https://www.datastory.com.cn/product/sagacity" TargetMode="External"/><Relationship Id="rId46" Type="http://schemas.openxmlformats.org/officeDocument/2006/relationships/hyperlink" Target="https://www.163.com/dy/article/K7E649DO0518FC07.html" TargetMode="External"/><Relationship Id="rId45" Type="http://schemas.openxmlformats.org/officeDocument/2006/relationships/hyperlink" Target="https://sdaa.tdua.org.tw/award/61" TargetMode="External"/><Relationship Id="rId44" Type="http://schemas.openxmlformats.org/officeDocument/2006/relationships/hyperlink" Target="https://www.xinhuanet.com/20250107/d65f17c0010844e1b2f5ff387fc426e8/c.html" TargetMode="External"/><Relationship Id="rId43" Type="http://schemas.openxmlformats.org/officeDocument/2006/relationships/hyperlink" Target="https://www.cnwomen.com.cn/2025/05/23/wap_99729913.html" TargetMode="External"/><Relationship Id="rId42" Type="http://schemas.openxmlformats.org/officeDocument/2006/relationships/hyperlink" Target="https://www.sohu.com/a/870534703_121427489" TargetMode="External"/><Relationship Id="rId41" Type="http://schemas.openxmlformats.org/officeDocument/2006/relationships/hyperlink" Target="https://m.baike.com/wiki/" TargetMode="External"/><Relationship Id="rId40" Type="http://schemas.openxmlformats.org/officeDocument/2006/relationships/hyperlink" Target="https://www.sinoxk.com/Accurate_marketing.html" TargetMode="External"/><Relationship Id="rId4" Type="http://schemas.openxmlformats.org/officeDocument/2006/relationships/hyperlink" Target="https://gmdhsoftware.com/zh/how-streamline-optimized-inventory-management-for-pharmaceutical-retail-chain/" TargetMode="External"/><Relationship Id="rId39" Type="http://schemas.openxmlformats.org/officeDocument/2006/relationships/hyperlink" Target="http://szb.eyesnews.cn/pad/cont/202506/12/content_154236.html" TargetMode="External"/><Relationship Id="rId38" Type="http://schemas.openxmlformats.org/officeDocument/2006/relationships/hyperlink" Target="https://cn.taimei.com/cn/6387" TargetMode="External"/><Relationship Id="rId37" Type="http://schemas.openxmlformats.org/officeDocument/2006/relationships/hyperlink" Target="https://news.futunn.com/hk/post/40846191" TargetMode="External"/><Relationship Id="rId36" Type="http://schemas.openxmlformats.org/officeDocument/2006/relationships/hyperlink" Target="https://xxxy.xzhmu.edu.cn/info/1003/2862.htm" TargetMode="External"/><Relationship Id="rId35" Type="http://schemas.openxmlformats.org/officeDocument/2006/relationships/hyperlink" Target="https://www.freightamigo.com/zh-hans/all-promotion-and-news/" TargetMode="External"/><Relationship Id="rId34" Type="http://schemas.openxmlformats.org/officeDocument/2006/relationships/hyperlink" Target="https://xie.infoq.cn/article/624b28d5ade260efae8f35c85" TargetMode="External"/><Relationship Id="rId33" Type="http://schemas.openxmlformats.org/officeDocument/2006/relationships/hyperlink" Target="https://finance.sina.cn/2025-06-10/detail-inezqrua5628514.d.html" TargetMode="External"/><Relationship Id="rId32" Type="http://schemas.openxmlformats.org/officeDocument/2006/relationships/hyperlink" Target="https://caifuhao.eastmoney.com/news/20250930045622564725300" TargetMode="External"/><Relationship Id="rId31" Type="http://schemas.openxmlformats.org/officeDocument/2006/relationships/hyperlink" Target="http://materialflow.com.cn/zixun/3857.html" TargetMode="External"/><Relationship Id="rId30" Type="http://schemas.openxmlformats.org/officeDocument/2006/relationships/hyperlink" Target="https://www.huoban.com/yx-jiaocheng/W7gGDRRnqor30e26.html" TargetMode="External"/><Relationship Id="rId3" Type="http://schemas.openxmlformats.org/officeDocument/2006/relationships/hyperlink" Target="https://www.shushangyun.com/article-23157.html" TargetMode="External"/><Relationship Id="rId29" Type="http://schemas.openxmlformats.org/officeDocument/2006/relationships/hyperlink" Target="https://tech.cnr.cn/techgd/20250722/t20250722_527277045.html" TargetMode="External"/><Relationship Id="rId28" Type="http://schemas.openxmlformats.org/officeDocument/2006/relationships/hyperlink" Target="https://price.zol.com.cn/848/8484696.html" TargetMode="External"/><Relationship Id="rId27" Type="http://schemas.openxmlformats.org/officeDocument/2006/relationships/hyperlink" Target="http://gxj.qingdao.gov.cn/gzxx/202301/t20230113_6603128.shtml" TargetMode="External"/><Relationship Id="rId26" Type="http://schemas.openxmlformats.org/officeDocument/2006/relationships/hyperlink" Target="https://developer.aliyun.com/article/1668490" TargetMode="External"/><Relationship Id="rId25" Type="http://schemas.openxmlformats.org/officeDocument/2006/relationships/hyperlink" Target="http://szb.eyesnews.cn/pc/cont/202506/12/content_154236.html" TargetMode="External"/><Relationship Id="rId24" Type="http://schemas.openxmlformats.org/officeDocument/2006/relationships/hyperlink" Target="http://m.toutiao.com/group/7537152861893968434/" TargetMode="External"/><Relationship Id="rId23" Type="http://schemas.openxmlformats.org/officeDocument/2006/relationships/hyperlink" Target="https://www.prnasia.com/story/491095-1.shtml" TargetMode="External"/><Relationship Id="rId22" Type="http://schemas.openxmlformats.org/officeDocument/2006/relationships/hyperlink" Target="https://www.nmpaic.org.cn/yjzhjgdt/202505/t20250520_427753.html" TargetMode="External"/><Relationship Id="rId21" Type="http://schemas.openxmlformats.org/officeDocument/2006/relationships/hyperlink" Target="https://www.huoban.com/blogs/3ngJ977OylybowZP.html" TargetMode="External"/><Relationship Id="rId20" Type="http://schemas.openxmlformats.org/officeDocument/2006/relationships/hyperlink" Target="https://zhuanlan.zhihu.com/p/1910652605081842142" TargetMode="External"/><Relationship Id="rId2" Type="http://schemas.openxmlformats.org/officeDocument/2006/relationships/vmlDrawing" Target="../drawings/vmlDrawing1.vml"/><Relationship Id="rId19" Type="http://schemas.openxmlformats.org/officeDocument/2006/relationships/hyperlink" Target="https://ctdsb.net/c1734_202507/2494795.html" TargetMode="External"/><Relationship Id="rId18" Type="http://schemas.openxmlformats.org/officeDocument/2006/relationships/hyperlink" Target="https://finance.sina.com.cn/tech/roll/2025-07-15/doc-inffpwts2069872.shtml" TargetMode="External"/><Relationship Id="rId17" Type="http://schemas.openxmlformats.org/officeDocument/2006/relationships/hyperlink" Target="https://www.shushangyun.com/article-22413.html" TargetMode="External"/><Relationship Id="rId16" Type="http://schemas.openxmlformats.org/officeDocument/2006/relationships/hyperlink" Target="https://hupun.com/articles/FjHoFvmI.html" TargetMode="External"/><Relationship Id="rId15" Type="http://schemas.openxmlformats.org/officeDocument/2006/relationships/hyperlink" Target="https://www.163.com/dy/article/JSMUVDMS0518TA2V.html" TargetMode="External"/><Relationship Id="rId14" Type="http://schemas.openxmlformats.org/officeDocument/2006/relationships/hyperlink" Target="https://www.163.com/dy/article/KACA2KBC0531W0RG.html" TargetMode="External"/><Relationship Id="rId13" Type="http://schemas.openxmlformats.org/officeDocument/2006/relationships/hyperlink" Target="https://bbs.huaweicloud.com/blogs/446528" TargetMode="External"/><Relationship Id="rId12" Type="http://schemas.openxmlformats.org/officeDocument/2006/relationships/hyperlink" Target="https://software.it168.com/a2025/0218/6877/000006877724.shtml" TargetMode="External"/><Relationship Id="rId11" Type="http://schemas.openxmlformats.org/officeDocument/2006/relationships/hyperlink" Target="https://www.shushangyun.com/article-4588.html" TargetMode="External"/><Relationship Id="rId10" Type="http://schemas.openxmlformats.org/officeDocument/2006/relationships/hyperlink" Target="http://www.dxh.gov.cn/XWZX/LKGYW/202011/t20201104_1491531.shtml" TargetMode="Externa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9"/>
  <sheetViews>
    <sheetView tabSelected="1" zoomScale="85" zoomScaleNormal="85" workbookViewId="0">
      <pane ySplit="1" topLeftCell="A2" activePane="bottomLeft" state="frozen"/>
      <selection/>
      <selection pane="bottomLeft" activeCell="E62" sqref="E62"/>
    </sheetView>
  </sheetViews>
  <sheetFormatPr defaultColWidth="9" defaultRowHeight="17.5"/>
  <cols>
    <col min="1" max="1" width="9" style="57"/>
    <col min="2" max="2" width="17.9090909090909" style="58" customWidth="1"/>
    <col min="3" max="3" width="27.6363636363636" style="59" customWidth="1"/>
    <col min="4" max="4" width="12.9090909090909" style="58" customWidth="1"/>
    <col min="5" max="5" width="19.0818181818182" style="59" customWidth="1"/>
    <col min="6" max="6" width="54.2181818181818" style="59" customWidth="1"/>
    <col min="7" max="7" width="17.8181818181818" style="59" customWidth="1"/>
    <col min="8" max="8" width="12.1818181818182" style="57" customWidth="1"/>
    <col min="9" max="9" width="16.4909090909091" style="57" customWidth="1"/>
    <col min="10" max="10" width="27.6636363636364" style="59" customWidth="1"/>
    <col min="11" max="11" width="13.0272727272727" style="57" customWidth="1"/>
    <col min="12" max="12" width="14.0909090909091" style="57" customWidth="1"/>
    <col min="13" max="13" width="55.6090909090909" style="59" customWidth="1"/>
    <col min="14" max="14" width="42.8545454545455" style="59" customWidth="1"/>
    <col min="15" max="16" width="25.8363636363636" style="59" customWidth="1"/>
    <col min="17" max="17" width="43.2454545454545" style="59" customWidth="1"/>
    <col min="18" max="18" width="54.0909090909091" style="59" customWidth="1"/>
    <col min="19" max="19" width="48.6363636363636" style="59" customWidth="1"/>
    <col min="20" max="16384" width="9" style="60"/>
  </cols>
  <sheetData>
    <row r="1" s="48" customFormat="1" ht="38" spans="1:19">
      <c r="A1" s="61" t="s">
        <v>0</v>
      </c>
      <c r="B1" s="62" t="s">
        <v>1</v>
      </c>
      <c r="C1" s="62" t="s">
        <v>2</v>
      </c>
      <c r="D1" s="62" t="s">
        <v>3</v>
      </c>
      <c r="E1" s="63" t="s">
        <v>4</v>
      </c>
      <c r="F1" s="64" t="s">
        <v>5</v>
      </c>
      <c r="G1" s="64" t="s">
        <v>6</v>
      </c>
      <c r="H1" s="62" t="s">
        <v>7</v>
      </c>
      <c r="I1" s="62" t="s">
        <v>8</v>
      </c>
      <c r="J1" s="62" t="s">
        <v>9</v>
      </c>
      <c r="K1" s="62" t="s">
        <v>10</v>
      </c>
      <c r="L1" s="65" t="s">
        <v>11</v>
      </c>
      <c r="M1" s="62" t="s">
        <v>12</v>
      </c>
      <c r="N1" s="62" t="s">
        <v>13</v>
      </c>
      <c r="O1" s="66" t="s">
        <v>14</v>
      </c>
      <c r="P1" s="66" t="s">
        <v>15</v>
      </c>
      <c r="Q1" s="66" t="s">
        <v>16</v>
      </c>
      <c r="R1" s="66" t="s">
        <v>17</v>
      </c>
      <c r="S1" s="66" t="s">
        <v>18</v>
      </c>
    </row>
    <row r="2" ht="190" spans="1:19">
      <c r="A2" s="67">
        <v>1</v>
      </c>
      <c r="B2" s="68" t="s">
        <v>19</v>
      </c>
      <c r="C2" s="69" t="s">
        <v>20</v>
      </c>
      <c r="D2" s="68" t="s">
        <v>21</v>
      </c>
      <c r="E2" s="69" t="s">
        <v>22</v>
      </c>
      <c r="F2" s="69" t="s">
        <v>23</v>
      </c>
      <c r="G2" s="70" t="s">
        <v>24</v>
      </c>
      <c r="H2" s="67" t="s">
        <v>25</v>
      </c>
      <c r="I2" s="67" t="s">
        <v>26</v>
      </c>
      <c r="J2" s="69" t="s">
        <v>27</v>
      </c>
      <c r="K2" s="67">
        <v>4</v>
      </c>
      <c r="L2" s="67">
        <v>40</v>
      </c>
      <c r="M2" s="71" t="s">
        <v>28</v>
      </c>
      <c r="N2" s="71" t="s">
        <v>29</v>
      </c>
      <c r="O2" s="71" t="s">
        <v>30</v>
      </c>
      <c r="P2" s="71" t="s">
        <v>31</v>
      </c>
      <c r="Q2" s="71" t="s">
        <v>32</v>
      </c>
      <c r="R2" s="71" t="s">
        <v>33</v>
      </c>
      <c r="S2" s="71" t="s">
        <v>34</v>
      </c>
    </row>
    <row r="3" ht="247" spans="1:19">
      <c r="A3" s="67">
        <v>2</v>
      </c>
      <c r="B3" s="68" t="s">
        <v>19</v>
      </c>
      <c r="C3" s="69" t="s">
        <v>35</v>
      </c>
      <c r="D3" s="68" t="s">
        <v>36</v>
      </c>
      <c r="E3" s="69" t="s">
        <v>22</v>
      </c>
      <c r="F3" s="69" t="s">
        <v>37</v>
      </c>
      <c r="G3" s="69" t="s">
        <v>24</v>
      </c>
      <c r="H3" s="67" t="s">
        <v>38</v>
      </c>
      <c r="I3" s="67" t="s">
        <v>39</v>
      </c>
      <c r="J3" s="69" t="s">
        <v>40</v>
      </c>
      <c r="K3" s="67">
        <v>10</v>
      </c>
      <c r="L3" s="67">
        <v>30</v>
      </c>
      <c r="M3" s="71" t="s">
        <v>41</v>
      </c>
      <c r="N3" s="71" t="s">
        <v>42</v>
      </c>
      <c r="O3" s="71" t="s">
        <v>43</v>
      </c>
      <c r="P3" s="71" t="s">
        <v>44</v>
      </c>
      <c r="Q3" s="71" t="s">
        <v>45</v>
      </c>
      <c r="R3" s="71" t="s">
        <v>46</v>
      </c>
      <c r="S3" s="71" t="s">
        <v>47</v>
      </c>
    </row>
    <row r="4" ht="247" spans="1:19">
      <c r="A4" s="67">
        <v>3</v>
      </c>
      <c r="B4" s="68" t="s">
        <v>19</v>
      </c>
      <c r="C4" s="69" t="s">
        <v>48</v>
      </c>
      <c r="D4" s="68" t="s">
        <v>49</v>
      </c>
      <c r="E4" s="69" t="s">
        <v>22</v>
      </c>
      <c r="F4" s="69" t="s">
        <v>50</v>
      </c>
      <c r="G4" s="69" t="s">
        <v>24</v>
      </c>
      <c r="H4" s="67" t="s">
        <v>38</v>
      </c>
      <c r="I4" s="67" t="s">
        <v>51</v>
      </c>
      <c r="J4" s="69" t="s">
        <v>40</v>
      </c>
      <c r="K4" s="67">
        <v>11</v>
      </c>
      <c r="L4" s="67">
        <v>60</v>
      </c>
      <c r="M4" s="71" t="s">
        <v>52</v>
      </c>
      <c r="N4" s="71" t="s">
        <v>42</v>
      </c>
      <c r="O4" s="71" t="s">
        <v>43</v>
      </c>
      <c r="P4" s="71" t="s">
        <v>44</v>
      </c>
      <c r="Q4" s="71" t="s">
        <v>53</v>
      </c>
      <c r="R4" s="71" t="s">
        <v>54</v>
      </c>
      <c r="S4" s="71" t="s">
        <v>55</v>
      </c>
    </row>
    <row r="5" ht="228" spans="1:19">
      <c r="A5" s="67">
        <v>4</v>
      </c>
      <c r="B5" s="68" t="s">
        <v>19</v>
      </c>
      <c r="C5" s="69" t="s">
        <v>56</v>
      </c>
      <c r="D5" s="68" t="s">
        <v>57</v>
      </c>
      <c r="E5" s="69" t="s">
        <v>22</v>
      </c>
      <c r="F5" s="69" t="s">
        <v>58</v>
      </c>
      <c r="G5" s="70" t="s">
        <v>24</v>
      </c>
      <c r="H5" s="67" t="s">
        <v>38</v>
      </c>
      <c r="I5" s="67" t="s">
        <v>59</v>
      </c>
      <c r="J5" s="69" t="s">
        <v>60</v>
      </c>
      <c r="K5" s="67">
        <v>10</v>
      </c>
      <c r="L5" s="67">
        <v>30</v>
      </c>
      <c r="M5" s="71" t="s">
        <v>61</v>
      </c>
      <c r="N5" s="71" t="s">
        <v>62</v>
      </c>
      <c r="O5" s="71" t="s">
        <v>63</v>
      </c>
      <c r="P5" s="71" t="s">
        <v>31</v>
      </c>
      <c r="Q5" s="71" t="s">
        <v>64</v>
      </c>
      <c r="R5" s="71" t="s">
        <v>65</v>
      </c>
      <c r="S5" s="71" t="s">
        <v>66</v>
      </c>
    </row>
    <row r="6" ht="361" spans="1:19">
      <c r="A6" s="67">
        <v>5</v>
      </c>
      <c r="B6" s="68" t="s">
        <v>19</v>
      </c>
      <c r="C6" s="69" t="s">
        <v>67</v>
      </c>
      <c r="D6" s="68" t="s">
        <v>68</v>
      </c>
      <c r="E6" s="69" t="s">
        <v>22</v>
      </c>
      <c r="F6" s="69" t="s">
        <v>69</v>
      </c>
      <c r="G6" s="69" t="s">
        <v>24</v>
      </c>
      <c r="H6" s="67" t="s">
        <v>38</v>
      </c>
      <c r="I6" s="67" t="s">
        <v>70</v>
      </c>
      <c r="J6" s="69"/>
      <c r="K6" s="67">
        <v>12</v>
      </c>
      <c r="L6" s="67">
        <v>60</v>
      </c>
      <c r="M6" s="71" t="s">
        <v>71</v>
      </c>
      <c r="N6" s="71" t="s">
        <v>72</v>
      </c>
      <c r="O6" s="71" t="s">
        <v>73</v>
      </c>
      <c r="P6" s="71" t="s">
        <v>74</v>
      </c>
      <c r="Q6" s="71" t="s">
        <v>75</v>
      </c>
      <c r="R6" s="71" t="s">
        <v>76</v>
      </c>
      <c r="S6" s="71" t="s">
        <v>77</v>
      </c>
    </row>
    <row r="7" ht="209" spans="1:19">
      <c r="A7" s="67">
        <v>6</v>
      </c>
      <c r="B7" s="68" t="s">
        <v>19</v>
      </c>
      <c r="C7" s="69" t="s">
        <v>78</v>
      </c>
      <c r="D7" s="68" t="s">
        <v>79</v>
      </c>
      <c r="E7" s="69" t="s">
        <v>22</v>
      </c>
      <c r="F7" s="69" t="s">
        <v>80</v>
      </c>
      <c r="G7" s="69" t="s">
        <v>24</v>
      </c>
      <c r="H7" s="67" t="s">
        <v>38</v>
      </c>
      <c r="I7" s="67" t="s">
        <v>81</v>
      </c>
      <c r="J7" s="69"/>
      <c r="K7" s="67">
        <v>8</v>
      </c>
      <c r="L7" s="67">
        <v>30</v>
      </c>
      <c r="M7" s="71" t="s">
        <v>82</v>
      </c>
      <c r="N7" s="71" t="s">
        <v>83</v>
      </c>
      <c r="O7" s="71" t="s">
        <v>84</v>
      </c>
      <c r="P7" s="71" t="s">
        <v>44</v>
      </c>
      <c r="Q7" s="71" t="s">
        <v>85</v>
      </c>
      <c r="R7" s="71" t="s">
        <v>86</v>
      </c>
      <c r="S7" s="71" t="s">
        <v>87</v>
      </c>
    </row>
    <row r="8" ht="209" spans="1:19">
      <c r="A8" s="67">
        <v>7</v>
      </c>
      <c r="B8" s="68" t="s">
        <v>19</v>
      </c>
      <c r="C8" s="69" t="s">
        <v>88</v>
      </c>
      <c r="D8" s="68" t="s">
        <v>89</v>
      </c>
      <c r="E8" s="69" t="s">
        <v>22</v>
      </c>
      <c r="F8" s="69" t="s">
        <v>90</v>
      </c>
      <c r="G8" s="69" t="s">
        <v>91</v>
      </c>
      <c r="H8" s="67" t="s">
        <v>38</v>
      </c>
      <c r="I8" s="67" t="s">
        <v>92</v>
      </c>
      <c r="J8" s="69" t="s">
        <v>93</v>
      </c>
      <c r="K8" s="67">
        <v>10</v>
      </c>
      <c r="L8" s="67">
        <v>60</v>
      </c>
      <c r="M8" s="71" t="s">
        <v>94</v>
      </c>
      <c r="N8" s="71" t="s">
        <v>72</v>
      </c>
      <c r="O8" s="71" t="s">
        <v>95</v>
      </c>
      <c r="P8" s="71" t="s">
        <v>74</v>
      </c>
      <c r="Q8" s="71" t="s">
        <v>96</v>
      </c>
      <c r="R8" s="71" t="s">
        <v>97</v>
      </c>
      <c r="S8" s="71" t="s">
        <v>98</v>
      </c>
    </row>
    <row r="9" s="49" customFormat="1" ht="228" spans="1:19">
      <c r="A9" s="67">
        <v>8</v>
      </c>
      <c r="B9" s="72" t="s">
        <v>19</v>
      </c>
      <c r="C9" s="73" t="s">
        <v>99</v>
      </c>
      <c r="D9" s="72" t="s">
        <v>100</v>
      </c>
      <c r="E9" s="69" t="s">
        <v>22</v>
      </c>
      <c r="F9" s="73" t="s">
        <v>101</v>
      </c>
      <c r="G9" s="73" t="s">
        <v>102</v>
      </c>
      <c r="H9" s="74" t="s">
        <v>38</v>
      </c>
      <c r="I9" s="74" t="s">
        <v>103</v>
      </c>
      <c r="J9" s="73" t="s">
        <v>104</v>
      </c>
      <c r="K9" s="74">
        <v>11</v>
      </c>
      <c r="L9" s="67">
        <v>60</v>
      </c>
      <c r="M9" s="75" t="s">
        <v>105</v>
      </c>
      <c r="N9" s="75" t="s">
        <v>72</v>
      </c>
      <c r="O9" s="75" t="s">
        <v>106</v>
      </c>
      <c r="P9" s="75" t="s">
        <v>44</v>
      </c>
      <c r="Q9" s="75" t="s">
        <v>107</v>
      </c>
      <c r="R9" s="75" t="s">
        <v>108</v>
      </c>
      <c r="S9" s="75" t="s">
        <v>109</v>
      </c>
    </row>
    <row r="10" ht="209" spans="1:19">
      <c r="A10" s="67">
        <v>9</v>
      </c>
      <c r="B10" s="68" t="s">
        <v>19</v>
      </c>
      <c r="C10" s="69" t="s">
        <v>110</v>
      </c>
      <c r="D10" s="68" t="s">
        <v>111</v>
      </c>
      <c r="E10" s="69" t="s">
        <v>22</v>
      </c>
      <c r="F10" s="69" t="s">
        <v>112</v>
      </c>
      <c r="G10" s="69" t="s">
        <v>113</v>
      </c>
      <c r="H10" s="67" t="s">
        <v>25</v>
      </c>
      <c r="I10" s="76" t="s">
        <v>26</v>
      </c>
      <c r="J10" s="77" t="s">
        <v>114</v>
      </c>
      <c r="K10" s="67">
        <v>9</v>
      </c>
      <c r="L10" s="67">
        <v>50</v>
      </c>
      <c r="M10" s="71" t="s">
        <v>115</v>
      </c>
      <c r="N10" s="71" t="s">
        <v>72</v>
      </c>
      <c r="O10" s="71" t="s">
        <v>116</v>
      </c>
      <c r="P10" s="71" t="s">
        <v>44</v>
      </c>
      <c r="Q10" s="71" t="s">
        <v>117</v>
      </c>
      <c r="R10" s="71" t="s">
        <v>118</v>
      </c>
      <c r="S10" s="71" t="s">
        <v>119</v>
      </c>
    </row>
    <row r="11" ht="304" spans="1:19">
      <c r="A11" s="67">
        <v>10</v>
      </c>
      <c r="B11" s="68" t="s">
        <v>19</v>
      </c>
      <c r="C11" s="69" t="s">
        <v>120</v>
      </c>
      <c r="D11" s="68" t="s">
        <v>121</v>
      </c>
      <c r="E11" s="69" t="s">
        <v>22</v>
      </c>
      <c r="F11" s="69" t="s">
        <v>122</v>
      </c>
      <c r="G11" s="69" t="s">
        <v>113</v>
      </c>
      <c r="H11" s="67" t="s">
        <v>25</v>
      </c>
      <c r="I11" s="67" t="s">
        <v>51</v>
      </c>
      <c r="J11" s="69" t="s">
        <v>60</v>
      </c>
      <c r="K11" s="67">
        <v>8</v>
      </c>
      <c r="L11" s="67">
        <v>40</v>
      </c>
      <c r="M11" s="71" t="s">
        <v>123</v>
      </c>
      <c r="N11" s="71" t="s">
        <v>72</v>
      </c>
      <c r="O11" s="71" t="s">
        <v>124</v>
      </c>
      <c r="P11" s="71" t="s">
        <v>74</v>
      </c>
      <c r="Q11" s="71" t="s">
        <v>125</v>
      </c>
      <c r="R11" s="71" t="s">
        <v>126</v>
      </c>
      <c r="S11" s="71" t="s">
        <v>127</v>
      </c>
    </row>
    <row r="12" ht="209" spans="1:19">
      <c r="A12" s="67">
        <v>11</v>
      </c>
      <c r="B12" s="68" t="s">
        <v>19</v>
      </c>
      <c r="C12" s="69" t="s">
        <v>128</v>
      </c>
      <c r="D12" s="68" t="s">
        <v>129</v>
      </c>
      <c r="E12" s="69" t="s">
        <v>22</v>
      </c>
      <c r="F12" s="69" t="s">
        <v>130</v>
      </c>
      <c r="G12" s="69" t="s">
        <v>24</v>
      </c>
      <c r="H12" s="67" t="s">
        <v>38</v>
      </c>
      <c r="I12" s="67" t="s">
        <v>39</v>
      </c>
      <c r="J12" s="69"/>
      <c r="K12" s="67">
        <v>10</v>
      </c>
      <c r="L12" s="67">
        <v>30</v>
      </c>
      <c r="M12" s="71" t="s">
        <v>131</v>
      </c>
      <c r="N12" s="71" t="s">
        <v>132</v>
      </c>
      <c r="O12" s="71" t="s">
        <v>133</v>
      </c>
      <c r="P12" s="71" t="s">
        <v>31</v>
      </c>
      <c r="Q12" s="71" t="s">
        <v>134</v>
      </c>
      <c r="R12" s="71" t="s">
        <v>135</v>
      </c>
      <c r="S12" s="71" t="s">
        <v>136</v>
      </c>
    </row>
    <row r="13" ht="209" spans="1:19">
      <c r="A13" s="67">
        <v>12</v>
      </c>
      <c r="B13" s="68" t="s">
        <v>19</v>
      </c>
      <c r="C13" s="69" t="s">
        <v>137</v>
      </c>
      <c r="D13" s="68" t="s">
        <v>138</v>
      </c>
      <c r="E13" s="69" t="s">
        <v>22</v>
      </c>
      <c r="F13" s="69" t="s">
        <v>139</v>
      </c>
      <c r="G13" s="70" t="s">
        <v>24</v>
      </c>
      <c r="H13" s="67" t="s">
        <v>38</v>
      </c>
      <c r="I13" s="67" t="s">
        <v>70</v>
      </c>
      <c r="J13" s="69" t="s">
        <v>60</v>
      </c>
      <c r="K13" s="67">
        <v>12</v>
      </c>
      <c r="L13" s="67">
        <v>20</v>
      </c>
      <c r="M13" s="71" t="s">
        <v>140</v>
      </c>
      <c r="N13" s="71" t="s">
        <v>141</v>
      </c>
      <c r="O13" s="71" t="s">
        <v>84</v>
      </c>
      <c r="P13" s="71" t="s">
        <v>44</v>
      </c>
      <c r="Q13" s="71" t="s">
        <v>142</v>
      </c>
      <c r="R13" s="71" t="s">
        <v>143</v>
      </c>
      <c r="S13" s="71" t="s">
        <v>144</v>
      </c>
    </row>
    <row r="14" ht="209" spans="1:19">
      <c r="A14" s="67">
        <v>13</v>
      </c>
      <c r="B14" s="68" t="s">
        <v>19</v>
      </c>
      <c r="C14" s="69" t="s">
        <v>145</v>
      </c>
      <c r="D14" s="68" t="s">
        <v>146</v>
      </c>
      <c r="E14" s="69" t="s">
        <v>22</v>
      </c>
      <c r="F14" s="69" t="s">
        <v>147</v>
      </c>
      <c r="G14" s="69" t="s">
        <v>24</v>
      </c>
      <c r="H14" s="67" t="s">
        <v>38</v>
      </c>
      <c r="I14" s="67" t="s">
        <v>59</v>
      </c>
      <c r="J14" s="69" t="s">
        <v>148</v>
      </c>
      <c r="K14" s="67">
        <v>10</v>
      </c>
      <c r="L14" s="67">
        <v>30</v>
      </c>
      <c r="M14" s="71" t="s">
        <v>149</v>
      </c>
      <c r="N14" s="71" t="s">
        <v>150</v>
      </c>
      <c r="O14" s="71" t="s">
        <v>43</v>
      </c>
      <c r="P14" s="71" t="s">
        <v>44</v>
      </c>
      <c r="Q14" s="71" t="s">
        <v>151</v>
      </c>
      <c r="R14" s="71" t="s">
        <v>152</v>
      </c>
      <c r="S14" s="71" t="s">
        <v>153</v>
      </c>
    </row>
    <row r="15" s="50" customFormat="1" ht="209" spans="1:19">
      <c r="A15" s="67">
        <v>14</v>
      </c>
      <c r="B15" s="68" t="s">
        <v>19</v>
      </c>
      <c r="C15" s="71" t="s">
        <v>154</v>
      </c>
      <c r="D15" s="68" t="s">
        <v>155</v>
      </c>
      <c r="E15" s="69" t="s">
        <v>22</v>
      </c>
      <c r="F15" s="71" t="s">
        <v>156</v>
      </c>
      <c r="G15" s="71" t="s">
        <v>113</v>
      </c>
      <c r="H15" s="68" t="s">
        <v>38</v>
      </c>
      <c r="I15" s="68" t="s">
        <v>103</v>
      </c>
      <c r="J15" s="71" t="s">
        <v>114</v>
      </c>
      <c r="K15" s="68">
        <v>11</v>
      </c>
      <c r="L15" s="67">
        <v>50</v>
      </c>
      <c r="M15" s="71" t="s">
        <v>157</v>
      </c>
      <c r="N15" s="71" t="s">
        <v>72</v>
      </c>
      <c r="O15" s="71" t="s">
        <v>116</v>
      </c>
      <c r="P15" s="71" t="s">
        <v>44</v>
      </c>
      <c r="Q15" s="71" t="s">
        <v>158</v>
      </c>
      <c r="R15" s="71" t="s">
        <v>159</v>
      </c>
      <c r="S15" s="71" t="s">
        <v>160</v>
      </c>
    </row>
    <row r="16" ht="209" spans="1:19">
      <c r="A16" s="67">
        <v>15</v>
      </c>
      <c r="B16" s="68" t="s">
        <v>19</v>
      </c>
      <c r="C16" s="69" t="s">
        <v>161</v>
      </c>
      <c r="D16" s="68" t="s">
        <v>162</v>
      </c>
      <c r="E16" s="69" t="s">
        <v>22</v>
      </c>
      <c r="F16" s="69" t="s">
        <v>163</v>
      </c>
      <c r="G16" s="69" t="s">
        <v>24</v>
      </c>
      <c r="H16" s="67" t="s">
        <v>25</v>
      </c>
      <c r="I16" s="67" t="s">
        <v>81</v>
      </c>
      <c r="J16" s="69" t="s">
        <v>164</v>
      </c>
      <c r="K16" s="67">
        <v>8</v>
      </c>
      <c r="L16" s="67">
        <v>30</v>
      </c>
      <c r="M16" s="71" t="s">
        <v>165</v>
      </c>
      <c r="N16" s="71" t="s">
        <v>83</v>
      </c>
      <c r="O16" s="71" t="s">
        <v>84</v>
      </c>
      <c r="P16" s="71" t="s">
        <v>44</v>
      </c>
      <c r="Q16" s="71" t="s">
        <v>166</v>
      </c>
      <c r="R16" s="71" t="s">
        <v>167</v>
      </c>
      <c r="S16" s="71" t="s">
        <v>168</v>
      </c>
    </row>
    <row r="17" s="49" customFormat="1" ht="209" spans="1:19">
      <c r="A17" s="67">
        <v>16</v>
      </c>
      <c r="B17" s="72" t="s">
        <v>19</v>
      </c>
      <c r="C17" s="78" t="s">
        <v>169</v>
      </c>
      <c r="D17" s="72" t="s">
        <v>170</v>
      </c>
      <c r="E17" s="69" t="s">
        <v>22</v>
      </c>
      <c r="F17" s="73" t="s">
        <v>171</v>
      </c>
      <c r="G17" s="73" t="s">
        <v>172</v>
      </c>
      <c r="H17" s="74" t="s">
        <v>38</v>
      </c>
      <c r="I17" s="79" t="s">
        <v>26</v>
      </c>
      <c r="J17" s="63" t="s">
        <v>173</v>
      </c>
      <c r="K17" s="74">
        <v>10</v>
      </c>
      <c r="L17" s="67">
        <v>50</v>
      </c>
      <c r="M17" s="75" t="s">
        <v>174</v>
      </c>
      <c r="N17" s="75" t="s">
        <v>72</v>
      </c>
      <c r="O17" s="75" t="s">
        <v>43</v>
      </c>
      <c r="P17" s="75" t="s">
        <v>44</v>
      </c>
      <c r="Q17" s="75" t="s">
        <v>175</v>
      </c>
      <c r="R17" s="75" t="s">
        <v>176</v>
      </c>
      <c r="S17" s="75" t="s">
        <v>177</v>
      </c>
    </row>
    <row r="18" s="50" customFormat="1" ht="209" spans="1:19">
      <c r="A18" s="67">
        <v>17</v>
      </c>
      <c r="B18" s="68" t="s">
        <v>19</v>
      </c>
      <c r="C18" s="80" t="s">
        <v>178</v>
      </c>
      <c r="D18" s="68" t="s">
        <v>179</v>
      </c>
      <c r="E18" s="69" t="s">
        <v>22</v>
      </c>
      <c r="F18" s="71" t="s">
        <v>180</v>
      </c>
      <c r="G18" s="71" t="s">
        <v>181</v>
      </c>
      <c r="H18" s="68" t="s">
        <v>38</v>
      </c>
      <c r="I18" s="68" t="s">
        <v>182</v>
      </c>
      <c r="J18" s="71" t="s">
        <v>40</v>
      </c>
      <c r="K18" s="68">
        <v>12</v>
      </c>
      <c r="L18" s="67">
        <v>30</v>
      </c>
      <c r="M18" s="71" t="s">
        <v>183</v>
      </c>
      <c r="N18" s="71" t="s">
        <v>72</v>
      </c>
      <c r="O18" s="71" t="s">
        <v>43</v>
      </c>
      <c r="P18" s="71" t="s">
        <v>44</v>
      </c>
      <c r="Q18" s="71" t="s">
        <v>184</v>
      </c>
      <c r="R18" s="71" t="s">
        <v>185</v>
      </c>
      <c r="S18" s="71" t="s">
        <v>186</v>
      </c>
    </row>
    <row r="19" ht="190" spans="1:19">
      <c r="A19" s="67">
        <v>18</v>
      </c>
      <c r="B19" s="68" t="s">
        <v>19</v>
      </c>
      <c r="C19" s="69" t="s">
        <v>187</v>
      </c>
      <c r="D19" s="68" t="s">
        <v>188</v>
      </c>
      <c r="E19" s="69" t="s">
        <v>22</v>
      </c>
      <c r="F19" s="69" t="s">
        <v>189</v>
      </c>
      <c r="G19" s="69" t="s">
        <v>190</v>
      </c>
      <c r="H19" s="67" t="s">
        <v>38</v>
      </c>
      <c r="I19" s="67" t="s">
        <v>92</v>
      </c>
      <c r="J19" s="69" t="s">
        <v>114</v>
      </c>
      <c r="K19" s="67">
        <v>10</v>
      </c>
      <c r="L19" s="67">
        <v>40</v>
      </c>
      <c r="M19" s="71" t="s">
        <v>191</v>
      </c>
      <c r="N19" s="71" t="s">
        <v>72</v>
      </c>
      <c r="O19" s="71" t="s">
        <v>192</v>
      </c>
      <c r="P19" s="71" t="s">
        <v>31</v>
      </c>
      <c r="Q19" s="71" t="s">
        <v>193</v>
      </c>
      <c r="R19" s="71" t="s">
        <v>194</v>
      </c>
      <c r="S19" s="71" t="s">
        <v>195</v>
      </c>
    </row>
    <row r="20" ht="209" spans="1:19">
      <c r="A20" s="67">
        <v>19</v>
      </c>
      <c r="B20" s="68" t="s">
        <v>19</v>
      </c>
      <c r="C20" s="69" t="s">
        <v>196</v>
      </c>
      <c r="D20" s="68" t="s">
        <v>197</v>
      </c>
      <c r="E20" s="69" t="s">
        <v>22</v>
      </c>
      <c r="F20" s="69" t="s">
        <v>198</v>
      </c>
      <c r="G20" s="69" t="s">
        <v>24</v>
      </c>
      <c r="H20" s="67" t="s">
        <v>38</v>
      </c>
      <c r="I20" s="67" t="s">
        <v>81</v>
      </c>
      <c r="J20" s="69"/>
      <c r="K20" s="67">
        <v>8</v>
      </c>
      <c r="L20" s="67">
        <v>20</v>
      </c>
      <c r="M20" s="71" t="s">
        <v>199</v>
      </c>
      <c r="N20" s="71" t="s">
        <v>72</v>
      </c>
      <c r="O20" s="71" t="s">
        <v>200</v>
      </c>
      <c r="P20" s="71" t="s">
        <v>44</v>
      </c>
      <c r="Q20" s="71" t="s">
        <v>201</v>
      </c>
      <c r="R20" s="71" t="s">
        <v>202</v>
      </c>
      <c r="S20" s="71" t="s">
        <v>203</v>
      </c>
    </row>
    <row r="21" ht="209" spans="1:19">
      <c r="A21" s="67">
        <v>20</v>
      </c>
      <c r="B21" s="68" t="s">
        <v>19</v>
      </c>
      <c r="C21" s="69" t="s">
        <v>204</v>
      </c>
      <c r="D21" s="68" t="s">
        <v>205</v>
      </c>
      <c r="E21" s="69" t="s">
        <v>22</v>
      </c>
      <c r="F21" s="69" t="s">
        <v>206</v>
      </c>
      <c r="G21" s="69" t="s">
        <v>24</v>
      </c>
      <c r="H21" s="67" t="s">
        <v>25</v>
      </c>
      <c r="I21" s="67" t="s">
        <v>92</v>
      </c>
      <c r="J21" s="69" t="s">
        <v>207</v>
      </c>
      <c r="K21" s="67">
        <v>11</v>
      </c>
      <c r="L21" s="67">
        <v>70</v>
      </c>
      <c r="M21" s="71" t="s">
        <v>208</v>
      </c>
      <c r="N21" s="71" t="s">
        <v>209</v>
      </c>
      <c r="O21" s="71" t="s">
        <v>210</v>
      </c>
      <c r="P21" s="71" t="s">
        <v>44</v>
      </c>
      <c r="Q21" s="71" t="s">
        <v>211</v>
      </c>
      <c r="R21" s="71" t="s">
        <v>212</v>
      </c>
      <c r="S21" s="71" t="s">
        <v>213</v>
      </c>
    </row>
    <row r="22" ht="209" spans="1:19">
      <c r="A22" s="67">
        <v>21</v>
      </c>
      <c r="B22" s="68" t="s">
        <v>19</v>
      </c>
      <c r="C22" s="69" t="s">
        <v>214</v>
      </c>
      <c r="D22" s="68" t="s">
        <v>215</v>
      </c>
      <c r="E22" s="69" t="s">
        <v>22</v>
      </c>
      <c r="F22" s="69" t="s">
        <v>216</v>
      </c>
      <c r="G22" s="69" t="s">
        <v>172</v>
      </c>
      <c r="H22" s="67" t="s">
        <v>38</v>
      </c>
      <c r="I22" s="67" t="s">
        <v>182</v>
      </c>
      <c r="J22" s="69"/>
      <c r="K22" s="67">
        <v>12</v>
      </c>
      <c r="L22" s="67">
        <v>30</v>
      </c>
      <c r="M22" s="71" t="s">
        <v>217</v>
      </c>
      <c r="N22" s="71" t="s">
        <v>72</v>
      </c>
      <c r="O22" s="71" t="s">
        <v>84</v>
      </c>
      <c r="P22" s="71" t="s">
        <v>44</v>
      </c>
      <c r="Q22" s="71" t="s">
        <v>218</v>
      </c>
      <c r="R22" s="71" t="s">
        <v>219</v>
      </c>
      <c r="S22" s="71" t="s">
        <v>220</v>
      </c>
    </row>
    <row r="23" ht="285" spans="1:19">
      <c r="A23" s="67">
        <v>22</v>
      </c>
      <c r="B23" s="68" t="s">
        <v>19</v>
      </c>
      <c r="C23" s="80" t="s">
        <v>221</v>
      </c>
      <c r="D23" s="68" t="s">
        <v>222</v>
      </c>
      <c r="E23" s="69" t="s">
        <v>22</v>
      </c>
      <c r="F23" s="69" t="s">
        <v>223</v>
      </c>
      <c r="G23" s="69" t="s">
        <v>24</v>
      </c>
      <c r="H23" s="67" t="s">
        <v>38</v>
      </c>
      <c r="I23" s="81" t="s">
        <v>92</v>
      </c>
      <c r="J23" s="82" t="s">
        <v>224</v>
      </c>
      <c r="K23" s="67">
        <v>12</v>
      </c>
      <c r="L23" s="67">
        <v>30</v>
      </c>
      <c r="M23" s="71" t="s">
        <v>225</v>
      </c>
      <c r="N23" s="71" t="s">
        <v>226</v>
      </c>
      <c r="O23" s="71" t="s">
        <v>227</v>
      </c>
      <c r="P23" s="71" t="s">
        <v>74</v>
      </c>
      <c r="Q23" s="71" t="s">
        <v>228</v>
      </c>
      <c r="R23" s="71" t="s">
        <v>229</v>
      </c>
      <c r="S23" s="71" t="s">
        <v>230</v>
      </c>
    </row>
    <row r="24" s="50" customFormat="1" ht="209" spans="1:19">
      <c r="A24" s="67">
        <v>23</v>
      </c>
      <c r="B24" s="68" t="s">
        <v>19</v>
      </c>
      <c r="C24" s="71" t="s">
        <v>231</v>
      </c>
      <c r="D24" s="68" t="s">
        <v>232</v>
      </c>
      <c r="E24" s="69" t="s">
        <v>22</v>
      </c>
      <c r="F24" s="71" t="s">
        <v>233</v>
      </c>
      <c r="G24" s="83" t="s">
        <v>234</v>
      </c>
      <c r="H24" s="71" t="s">
        <v>38</v>
      </c>
      <c r="I24" s="71" t="s">
        <v>182</v>
      </c>
      <c r="J24" s="71"/>
      <c r="K24" s="71">
        <v>12</v>
      </c>
      <c r="L24" s="67">
        <v>20</v>
      </c>
      <c r="M24" s="71" t="s">
        <v>235</v>
      </c>
      <c r="N24" s="71" t="s">
        <v>236</v>
      </c>
      <c r="O24" s="71" t="s">
        <v>84</v>
      </c>
      <c r="P24" s="71" t="s">
        <v>44</v>
      </c>
      <c r="Q24" s="71" t="s">
        <v>237</v>
      </c>
      <c r="R24" s="71" t="s">
        <v>238</v>
      </c>
      <c r="S24" s="71" t="s">
        <v>239</v>
      </c>
    </row>
    <row r="25" ht="409.5" spans="1:19">
      <c r="A25" s="67">
        <v>24</v>
      </c>
      <c r="B25" s="68" t="s">
        <v>19</v>
      </c>
      <c r="C25" s="71" t="s">
        <v>240</v>
      </c>
      <c r="D25" s="68" t="s">
        <v>241</v>
      </c>
      <c r="E25" s="69" t="s">
        <v>22</v>
      </c>
      <c r="F25" s="69" t="s">
        <v>242</v>
      </c>
      <c r="G25" s="69" t="s">
        <v>24</v>
      </c>
      <c r="H25" s="69" t="s">
        <v>38</v>
      </c>
      <c r="I25" s="69" t="s">
        <v>103</v>
      </c>
      <c r="J25" s="69"/>
      <c r="K25" s="69">
        <v>11</v>
      </c>
      <c r="L25" s="67">
        <v>70</v>
      </c>
      <c r="M25" s="71" t="s">
        <v>243</v>
      </c>
      <c r="N25" s="71" t="s">
        <v>72</v>
      </c>
      <c r="O25" s="71" t="s">
        <v>244</v>
      </c>
      <c r="P25" s="71" t="s">
        <v>31</v>
      </c>
      <c r="Q25" s="71" t="s">
        <v>245</v>
      </c>
      <c r="R25" s="71" t="s">
        <v>246</v>
      </c>
      <c r="S25" s="71" t="s">
        <v>247</v>
      </c>
    </row>
    <row r="26" s="50" customFormat="1" ht="209" spans="1:19">
      <c r="A26" s="67">
        <v>25</v>
      </c>
      <c r="B26" s="68" t="s">
        <v>19</v>
      </c>
      <c r="C26" s="75" t="s">
        <v>248</v>
      </c>
      <c r="D26" s="68" t="s">
        <v>249</v>
      </c>
      <c r="E26" s="69" t="s">
        <v>22</v>
      </c>
      <c r="F26" s="75" t="s">
        <v>250</v>
      </c>
      <c r="G26" s="75" t="s">
        <v>102</v>
      </c>
      <c r="H26" s="71" t="s">
        <v>38</v>
      </c>
      <c r="I26" s="71" t="s">
        <v>51</v>
      </c>
      <c r="J26" s="71"/>
      <c r="K26" s="71">
        <v>10</v>
      </c>
      <c r="L26" s="67">
        <v>50</v>
      </c>
      <c r="M26" s="71" t="s">
        <v>251</v>
      </c>
      <c r="N26" s="71" t="s">
        <v>252</v>
      </c>
      <c r="O26" s="71" t="s">
        <v>43</v>
      </c>
      <c r="P26" s="71" t="s">
        <v>44</v>
      </c>
      <c r="Q26" s="71" t="s">
        <v>253</v>
      </c>
      <c r="R26" s="71" t="s">
        <v>254</v>
      </c>
      <c r="S26" s="71" t="s">
        <v>255</v>
      </c>
    </row>
    <row r="27" s="51" customFormat="1" ht="342" spans="1:19">
      <c r="A27" s="67">
        <v>26</v>
      </c>
      <c r="B27" s="68" t="s">
        <v>19</v>
      </c>
      <c r="C27" s="71" t="s">
        <v>256</v>
      </c>
      <c r="D27" s="68" t="s">
        <v>257</v>
      </c>
      <c r="E27" s="69" t="s">
        <v>22</v>
      </c>
      <c r="F27" s="71" t="s">
        <v>258</v>
      </c>
      <c r="G27" s="71" t="s">
        <v>24</v>
      </c>
      <c r="H27" s="71" t="s">
        <v>38</v>
      </c>
      <c r="I27" s="71" t="s">
        <v>182</v>
      </c>
      <c r="J27" s="71" t="s">
        <v>173</v>
      </c>
      <c r="K27" s="71">
        <v>12</v>
      </c>
      <c r="L27" s="67">
        <v>90</v>
      </c>
      <c r="M27" s="71" t="s">
        <v>259</v>
      </c>
      <c r="N27" s="71" t="s">
        <v>260</v>
      </c>
      <c r="O27" s="71" t="s">
        <v>261</v>
      </c>
      <c r="P27" s="71" t="s">
        <v>74</v>
      </c>
      <c r="Q27" s="71" t="s">
        <v>262</v>
      </c>
      <c r="R27" s="71" t="s">
        <v>263</v>
      </c>
      <c r="S27" s="71" t="s">
        <v>264</v>
      </c>
    </row>
    <row r="28" s="51" customFormat="1" ht="209" spans="1:19">
      <c r="A28" s="67">
        <v>27</v>
      </c>
      <c r="B28" s="68" t="s">
        <v>19</v>
      </c>
      <c r="C28" s="80" t="s">
        <v>265</v>
      </c>
      <c r="D28" s="68" t="s">
        <v>266</v>
      </c>
      <c r="E28" s="69" t="s">
        <v>22</v>
      </c>
      <c r="F28" s="71" t="s">
        <v>267</v>
      </c>
      <c r="G28" s="71" t="s">
        <v>24</v>
      </c>
      <c r="H28" s="71" t="s">
        <v>38</v>
      </c>
      <c r="I28" s="82" t="s">
        <v>26</v>
      </c>
      <c r="J28" s="82" t="s">
        <v>173</v>
      </c>
      <c r="K28" s="71">
        <v>13</v>
      </c>
      <c r="L28" s="67">
        <v>70</v>
      </c>
      <c r="M28" s="71" t="s">
        <v>268</v>
      </c>
      <c r="N28" s="71" t="s">
        <v>269</v>
      </c>
      <c r="O28" s="71" t="s">
        <v>270</v>
      </c>
      <c r="P28" s="71"/>
      <c r="Q28" s="71" t="s">
        <v>271</v>
      </c>
      <c r="R28" s="71" t="s">
        <v>272</v>
      </c>
      <c r="S28" s="71" t="s">
        <v>273</v>
      </c>
    </row>
    <row r="29" s="51" customFormat="1" ht="228" spans="1:19">
      <c r="A29" s="67">
        <v>28</v>
      </c>
      <c r="B29" s="68" t="s">
        <v>19</v>
      </c>
      <c r="C29" s="71" t="s">
        <v>274</v>
      </c>
      <c r="D29" s="68" t="s">
        <v>275</v>
      </c>
      <c r="E29" s="69" t="s">
        <v>276</v>
      </c>
      <c r="F29" s="71" t="s">
        <v>277</v>
      </c>
      <c r="G29" s="71" t="s">
        <v>24</v>
      </c>
      <c r="H29" s="71" t="s">
        <v>38</v>
      </c>
      <c r="I29" s="84" t="s">
        <v>278</v>
      </c>
      <c r="J29" s="84"/>
      <c r="K29" s="71">
        <v>13</v>
      </c>
      <c r="L29" s="67">
        <v>50</v>
      </c>
      <c r="M29" s="71" t="s">
        <v>279</v>
      </c>
      <c r="N29" s="71" t="s">
        <v>150</v>
      </c>
      <c r="O29" s="71" t="s">
        <v>280</v>
      </c>
      <c r="P29" s="71"/>
      <c r="Q29" s="71" t="s">
        <v>281</v>
      </c>
      <c r="R29" s="71" t="s">
        <v>282</v>
      </c>
      <c r="S29" s="71" t="s">
        <v>283</v>
      </c>
    </row>
    <row r="30" s="50" customFormat="1" ht="228" spans="1:19">
      <c r="A30" s="67">
        <v>29</v>
      </c>
      <c r="B30" s="68" t="s">
        <v>19</v>
      </c>
      <c r="C30" s="71" t="s">
        <v>284</v>
      </c>
      <c r="D30" s="85" t="s">
        <v>285</v>
      </c>
      <c r="E30" s="69" t="s">
        <v>22</v>
      </c>
      <c r="F30" s="71" t="s">
        <v>286</v>
      </c>
      <c r="G30" s="71" t="s">
        <v>24</v>
      </c>
      <c r="H30" s="68" t="s">
        <v>38</v>
      </c>
      <c r="I30" s="68" t="s">
        <v>39</v>
      </c>
      <c r="J30" s="71" t="s">
        <v>148</v>
      </c>
      <c r="K30" s="85">
        <v>8</v>
      </c>
      <c r="L30" s="67">
        <v>40</v>
      </c>
      <c r="M30" s="71" t="s">
        <v>287</v>
      </c>
      <c r="N30" s="71" t="s">
        <v>72</v>
      </c>
      <c r="O30" s="71" t="s">
        <v>288</v>
      </c>
      <c r="P30" s="71" t="s">
        <v>289</v>
      </c>
      <c r="Q30" s="71" t="s">
        <v>290</v>
      </c>
      <c r="R30" s="71" t="s">
        <v>291</v>
      </c>
      <c r="S30" s="71" t="s">
        <v>292</v>
      </c>
    </row>
    <row r="31" s="52" customFormat="1" ht="190" spans="1:19">
      <c r="A31" s="67">
        <v>30</v>
      </c>
      <c r="B31" s="86" t="s">
        <v>19</v>
      </c>
      <c r="C31" s="80" t="s">
        <v>293</v>
      </c>
      <c r="D31" s="87" t="s">
        <v>294</v>
      </c>
      <c r="E31" s="69" t="s">
        <v>276</v>
      </c>
      <c r="F31" s="80" t="s">
        <v>295</v>
      </c>
      <c r="G31" s="80" t="s">
        <v>296</v>
      </c>
      <c r="H31" s="86" t="s">
        <v>38</v>
      </c>
      <c r="I31" s="86" t="s">
        <v>39</v>
      </c>
      <c r="J31" s="80"/>
      <c r="K31" s="87">
        <v>10</v>
      </c>
      <c r="L31" s="67">
        <v>40</v>
      </c>
      <c r="M31" s="80" t="s">
        <v>297</v>
      </c>
      <c r="N31" s="80" t="s">
        <v>298</v>
      </c>
      <c r="O31" s="80" t="s">
        <v>299</v>
      </c>
      <c r="P31" s="80" t="s">
        <v>31</v>
      </c>
      <c r="Q31" s="80" t="s">
        <v>300</v>
      </c>
      <c r="R31" s="80" t="s">
        <v>301</v>
      </c>
      <c r="S31" s="80"/>
    </row>
    <row r="32" s="52" customFormat="1" ht="190" spans="1:19">
      <c r="A32" s="67">
        <v>31</v>
      </c>
      <c r="B32" s="86" t="s">
        <v>19</v>
      </c>
      <c r="C32" s="80" t="s">
        <v>302</v>
      </c>
      <c r="D32" s="87" t="s">
        <v>303</v>
      </c>
      <c r="E32" s="69" t="s">
        <v>276</v>
      </c>
      <c r="F32" s="80" t="s">
        <v>304</v>
      </c>
      <c r="G32" s="80" t="s">
        <v>24</v>
      </c>
      <c r="H32" s="86" t="s">
        <v>38</v>
      </c>
      <c r="I32" s="86" t="s">
        <v>39</v>
      </c>
      <c r="J32" s="80" t="s">
        <v>305</v>
      </c>
      <c r="K32" s="87">
        <v>8</v>
      </c>
      <c r="L32" s="67">
        <v>15</v>
      </c>
      <c r="M32" s="80" t="s">
        <v>306</v>
      </c>
      <c r="N32" s="80" t="s">
        <v>307</v>
      </c>
      <c r="O32" s="80" t="s">
        <v>308</v>
      </c>
      <c r="P32" s="80" t="s">
        <v>31</v>
      </c>
      <c r="Q32" s="80" t="s">
        <v>309</v>
      </c>
      <c r="R32" s="80" t="s">
        <v>310</v>
      </c>
      <c r="S32" s="80"/>
    </row>
    <row r="33" s="52" customFormat="1" ht="171" spans="1:19">
      <c r="A33" s="67">
        <v>32</v>
      </c>
      <c r="B33" s="86" t="s">
        <v>19</v>
      </c>
      <c r="C33" s="80" t="s">
        <v>311</v>
      </c>
      <c r="D33" s="87" t="s">
        <v>312</v>
      </c>
      <c r="E33" s="69" t="s">
        <v>276</v>
      </c>
      <c r="F33" s="80" t="s">
        <v>313</v>
      </c>
      <c r="G33" s="80" t="s">
        <v>24</v>
      </c>
      <c r="H33" s="86" t="s">
        <v>38</v>
      </c>
      <c r="I33" s="86" t="s">
        <v>39</v>
      </c>
      <c r="J33" s="80" t="s">
        <v>93</v>
      </c>
      <c r="K33" s="87">
        <v>10</v>
      </c>
      <c r="L33" s="67">
        <v>15</v>
      </c>
      <c r="M33" s="80" t="s">
        <v>314</v>
      </c>
      <c r="N33" s="80" t="s">
        <v>72</v>
      </c>
      <c r="O33" s="80" t="s">
        <v>315</v>
      </c>
      <c r="P33" s="80" t="s">
        <v>31</v>
      </c>
      <c r="Q33" s="80" t="s">
        <v>316</v>
      </c>
      <c r="R33" s="80" t="s">
        <v>317</v>
      </c>
      <c r="S33" s="80"/>
    </row>
    <row r="34" ht="409.5" spans="1:19">
      <c r="A34" s="67">
        <v>33</v>
      </c>
      <c r="B34" s="68" t="s">
        <v>318</v>
      </c>
      <c r="C34" s="69" t="s">
        <v>319</v>
      </c>
      <c r="D34" s="68" t="s">
        <v>320</v>
      </c>
      <c r="E34" s="69" t="s">
        <v>22</v>
      </c>
      <c r="F34" s="69" t="s">
        <v>321</v>
      </c>
      <c r="G34" s="69" t="s">
        <v>322</v>
      </c>
      <c r="H34" s="69" t="s">
        <v>38</v>
      </c>
      <c r="I34" s="69" t="s">
        <v>103</v>
      </c>
      <c r="J34" s="69" t="s">
        <v>323</v>
      </c>
      <c r="K34" s="69">
        <v>11</v>
      </c>
      <c r="L34" s="67">
        <v>90</v>
      </c>
      <c r="M34" s="71" t="s">
        <v>324</v>
      </c>
      <c r="N34" s="71" t="s">
        <v>72</v>
      </c>
      <c r="O34" s="71" t="s">
        <v>325</v>
      </c>
      <c r="P34" s="71" t="s">
        <v>44</v>
      </c>
      <c r="Q34" s="71" t="s">
        <v>326</v>
      </c>
      <c r="R34" s="71" t="s">
        <v>327</v>
      </c>
      <c r="S34" s="71" t="s">
        <v>328</v>
      </c>
    </row>
    <row r="35" s="53" customFormat="1" ht="209" spans="1:19">
      <c r="A35" s="67">
        <v>34</v>
      </c>
      <c r="B35" s="72" t="s">
        <v>318</v>
      </c>
      <c r="C35" s="75" t="s">
        <v>329</v>
      </c>
      <c r="D35" s="72" t="s">
        <v>330</v>
      </c>
      <c r="E35" s="69" t="s">
        <v>22</v>
      </c>
      <c r="F35" s="75" t="s">
        <v>331</v>
      </c>
      <c r="G35" s="75" t="s">
        <v>332</v>
      </c>
      <c r="H35" s="72" t="s">
        <v>38</v>
      </c>
      <c r="I35" s="72" t="s">
        <v>70</v>
      </c>
      <c r="J35" s="75"/>
      <c r="K35" s="72">
        <v>13</v>
      </c>
      <c r="L35" s="67">
        <v>30</v>
      </c>
      <c r="M35" s="75" t="s">
        <v>333</v>
      </c>
      <c r="N35" s="75" t="s">
        <v>72</v>
      </c>
      <c r="O35" s="75" t="s">
        <v>43</v>
      </c>
      <c r="P35" s="75" t="s">
        <v>44</v>
      </c>
      <c r="Q35" s="75" t="s">
        <v>334</v>
      </c>
      <c r="R35" s="75" t="s">
        <v>335</v>
      </c>
      <c r="S35" s="75" t="s">
        <v>336</v>
      </c>
    </row>
    <row r="36" ht="209" spans="1:19">
      <c r="A36" s="67">
        <v>35</v>
      </c>
      <c r="B36" s="68" t="s">
        <v>318</v>
      </c>
      <c r="C36" s="69" t="s">
        <v>337</v>
      </c>
      <c r="D36" s="68" t="s">
        <v>338</v>
      </c>
      <c r="E36" s="69" t="s">
        <v>22</v>
      </c>
      <c r="F36" s="69" t="s">
        <v>339</v>
      </c>
      <c r="G36" s="69" t="s">
        <v>332</v>
      </c>
      <c r="H36" s="67" t="s">
        <v>38</v>
      </c>
      <c r="I36" s="67" t="s">
        <v>103</v>
      </c>
      <c r="J36" s="69" t="s">
        <v>340</v>
      </c>
      <c r="K36" s="67">
        <v>11</v>
      </c>
      <c r="L36" s="67">
        <v>60</v>
      </c>
      <c r="M36" s="71" t="s">
        <v>341</v>
      </c>
      <c r="N36" s="71" t="s">
        <v>72</v>
      </c>
      <c r="O36" s="71" t="s">
        <v>84</v>
      </c>
      <c r="P36" s="71" t="s">
        <v>44</v>
      </c>
      <c r="Q36" s="71" t="s">
        <v>342</v>
      </c>
      <c r="R36" s="71" t="s">
        <v>343</v>
      </c>
      <c r="S36" s="71" t="s">
        <v>344</v>
      </c>
    </row>
    <row r="37" ht="209" spans="1:19">
      <c r="A37" s="67">
        <v>36</v>
      </c>
      <c r="B37" s="68" t="s">
        <v>318</v>
      </c>
      <c r="C37" s="69" t="s">
        <v>345</v>
      </c>
      <c r="D37" s="68" t="s">
        <v>346</v>
      </c>
      <c r="E37" s="69" t="s">
        <v>22</v>
      </c>
      <c r="F37" s="69" t="s">
        <v>347</v>
      </c>
      <c r="G37" s="69" t="s">
        <v>332</v>
      </c>
      <c r="H37" s="67" t="s">
        <v>38</v>
      </c>
      <c r="I37" s="67" t="s">
        <v>348</v>
      </c>
      <c r="J37" s="69" t="s">
        <v>340</v>
      </c>
      <c r="K37" s="67">
        <v>13</v>
      </c>
      <c r="L37" s="67">
        <v>20</v>
      </c>
      <c r="M37" s="71" t="s">
        <v>349</v>
      </c>
      <c r="N37" s="71" t="s">
        <v>72</v>
      </c>
      <c r="O37" s="71" t="s">
        <v>84</v>
      </c>
      <c r="P37" s="71" t="s">
        <v>44</v>
      </c>
      <c r="Q37" s="71" t="s">
        <v>350</v>
      </c>
      <c r="R37" s="71" t="s">
        <v>351</v>
      </c>
      <c r="S37" s="71" t="s">
        <v>352</v>
      </c>
    </row>
    <row r="38" ht="209" spans="1:19">
      <c r="A38" s="67">
        <v>37</v>
      </c>
      <c r="B38" s="68" t="s">
        <v>318</v>
      </c>
      <c r="C38" s="69" t="s">
        <v>353</v>
      </c>
      <c r="D38" s="68" t="s">
        <v>354</v>
      </c>
      <c r="E38" s="69" t="s">
        <v>22</v>
      </c>
      <c r="F38" s="69" t="s">
        <v>355</v>
      </c>
      <c r="G38" s="69" t="s">
        <v>356</v>
      </c>
      <c r="H38" s="69" t="s">
        <v>38</v>
      </c>
      <c r="I38" s="67" t="s">
        <v>59</v>
      </c>
      <c r="J38" s="69"/>
      <c r="K38" s="67">
        <v>11</v>
      </c>
      <c r="L38" s="67">
        <v>30</v>
      </c>
      <c r="M38" s="71" t="s">
        <v>357</v>
      </c>
      <c r="N38" s="71" t="s">
        <v>209</v>
      </c>
      <c r="O38" s="71" t="s">
        <v>43</v>
      </c>
      <c r="P38" s="71" t="s">
        <v>44</v>
      </c>
      <c r="Q38" s="71" t="s">
        <v>358</v>
      </c>
      <c r="R38" s="71" t="s">
        <v>359</v>
      </c>
      <c r="S38" s="71" t="s">
        <v>360</v>
      </c>
    </row>
    <row r="39" ht="228" spans="1:19">
      <c r="A39" s="67">
        <v>38</v>
      </c>
      <c r="B39" s="68" t="s">
        <v>318</v>
      </c>
      <c r="C39" s="80" t="s">
        <v>361</v>
      </c>
      <c r="D39" s="68" t="s">
        <v>362</v>
      </c>
      <c r="E39" s="69" t="s">
        <v>22</v>
      </c>
      <c r="F39" s="77" t="s">
        <v>363</v>
      </c>
      <c r="G39" s="69" t="s">
        <v>332</v>
      </c>
      <c r="H39" s="67" t="s">
        <v>38</v>
      </c>
      <c r="I39" s="67" t="s">
        <v>103</v>
      </c>
      <c r="J39" s="69" t="s">
        <v>364</v>
      </c>
      <c r="K39" s="67">
        <v>11</v>
      </c>
      <c r="L39" s="67">
        <v>100</v>
      </c>
      <c r="M39" s="71" t="s">
        <v>365</v>
      </c>
      <c r="N39" s="71" t="s">
        <v>72</v>
      </c>
      <c r="O39" s="71" t="s">
        <v>366</v>
      </c>
      <c r="P39" s="71" t="s">
        <v>31</v>
      </c>
      <c r="Q39" s="71" t="s">
        <v>367</v>
      </c>
      <c r="R39" s="71" t="s">
        <v>368</v>
      </c>
      <c r="S39" s="71" t="s">
        <v>369</v>
      </c>
    </row>
    <row r="40" ht="209" spans="1:19">
      <c r="A40" s="67">
        <v>39</v>
      </c>
      <c r="B40" s="68" t="s">
        <v>318</v>
      </c>
      <c r="C40" s="69" t="s">
        <v>370</v>
      </c>
      <c r="D40" s="68" t="s">
        <v>371</v>
      </c>
      <c r="E40" s="69" t="s">
        <v>22</v>
      </c>
      <c r="F40" s="69" t="s">
        <v>372</v>
      </c>
      <c r="G40" s="69" t="s">
        <v>373</v>
      </c>
      <c r="H40" s="67" t="s">
        <v>38</v>
      </c>
      <c r="I40" s="67" t="s">
        <v>182</v>
      </c>
      <c r="J40" s="69"/>
      <c r="K40" s="67">
        <v>12</v>
      </c>
      <c r="L40" s="67">
        <v>30</v>
      </c>
      <c r="M40" s="71" t="s">
        <v>374</v>
      </c>
      <c r="N40" s="71" t="s">
        <v>72</v>
      </c>
      <c r="O40" s="71" t="s">
        <v>84</v>
      </c>
      <c r="P40" s="71" t="s">
        <v>44</v>
      </c>
      <c r="Q40" s="71" t="s">
        <v>375</v>
      </c>
      <c r="R40" s="71" t="s">
        <v>376</v>
      </c>
      <c r="S40" s="71" t="s">
        <v>377</v>
      </c>
    </row>
    <row r="41" ht="248.5" spans="1:19">
      <c r="A41" s="67">
        <v>40</v>
      </c>
      <c r="B41" s="68" t="s">
        <v>318</v>
      </c>
      <c r="C41" s="69" t="s">
        <v>378</v>
      </c>
      <c r="D41" s="68" t="s">
        <v>379</v>
      </c>
      <c r="E41" s="69" t="s">
        <v>276</v>
      </c>
      <c r="F41" s="69" t="s">
        <v>380</v>
      </c>
      <c r="G41" s="69" t="s">
        <v>332</v>
      </c>
      <c r="H41" s="67" t="s">
        <v>38</v>
      </c>
      <c r="I41" s="67" t="s">
        <v>182</v>
      </c>
      <c r="J41" s="69" t="s">
        <v>381</v>
      </c>
      <c r="K41" s="67">
        <v>13</v>
      </c>
      <c r="L41" s="67">
        <v>35</v>
      </c>
      <c r="M41" s="71" t="s">
        <v>382</v>
      </c>
      <c r="N41" s="71" t="s">
        <v>72</v>
      </c>
      <c r="O41" s="71" t="s">
        <v>366</v>
      </c>
      <c r="P41" s="71" t="s">
        <v>44</v>
      </c>
      <c r="Q41" s="71" t="s">
        <v>383</v>
      </c>
      <c r="R41" s="71" t="s">
        <v>384</v>
      </c>
      <c r="S41" s="71" t="s">
        <v>385</v>
      </c>
    </row>
    <row r="42" ht="342" spans="1:19">
      <c r="A42" s="67">
        <v>41</v>
      </c>
      <c r="B42" s="68" t="s">
        <v>318</v>
      </c>
      <c r="C42" s="69" t="s">
        <v>386</v>
      </c>
      <c r="D42" s="68" t="s">
        <v>387</v>
      </c>
      <c r="E42" s="69" t="s">
        <v>22</v>
      </c>
      <c r="F42" s="69" t="s">
        <v>388</v>
      </c>
      <c r="G42" s="69" t="s">
        <v>332</v>
      </c>
      <c r="H42" s="67" t="s">
        <v>38</v>
      </c>
      <c r="I42" s="67" t="s">
        <v>59</v>
      </c>
      <c r="J42" s="69" t="s">
        <v>389</v>
      </c>
      <c r="K42" s="67">
        <v>10</v>
      </c>
      <c r="L42" s="67">
        <v>50</v>
      </c>
      <c r="M42" s="71" t="s">
        <v>390</v>
      </c>
      <c r="N42" s="71" t="s">
        <v>72</v>
      </c>
      <c r="O42" s="71" t="s">
        <v>391</v>
      </c>
      <c r="P42" s="71" t="s">
        <v>44</v>
      </c>
      <c r="Q42" s="71" t="s">
        <v>392</v>
      </c>
      <c r="R42" s="71" t="s">
        <v>393</v>
      </c>
      <c r="S42" s="71" t="s">
        <v>394</v>
      </c>
    </row>
    <row r="43" ht="228" spans="1:19">
      <c r="A43" s="67">
        <v>42</v>
      </c>
      <c r="B43" s="68" t="s">
        <v>318</v>
      </c>
      <c r="C43" s="69" t="s">
        <v>395</v>
      </c>
      <c r="D43" s="68" t="s">
        <v>396</v>
      </c>
      <c r="E43" s="69" t="s">
        <v>22</v>
      </c>
      <c r="F43" s="69" t="s">
        <v>397</v>
      </c>
      <c r="G43" s="69" t="s">
        <v>332</v>
      </c>
      <c r="H43" s="67" t="s">
        <v>38</v>
      </c>
      <c r="I43" s="67" t="s">
        <v>348</v>
      </c>
      <c r="J43" s="69" t="s">
        <v>381</v>
      </c>
      <c r="K43" s="67">
        <v>12</v>
      </c>
      <c r="L43" s="67">
        <v>30</v>
      </c>
      <c r="M43" s="71" t="s">
        <v>398</v>
      </c>
      <c r="N43" s="71" t="s">
        <v>72</v>
      </c>
      <c r="O43" s="71" t="s">
        <v>399</v>
      </c>
      <c r="P43" s="71" t="s">
        <v>44</v>
      </c>
      <c r="Q43" s="71" t="s">
        <v>400</v>
      </c>
      <c r="R43" s="71" t="s">
        <v>401</v>
      </c>
      <c r="S43" s="71" t="s">
        <v>402</v>
      </c>
    </row>
    <row r="44" s="53" customFormat="1" ht="209" spans="1:19">
      <c r="A44" s="67">
        <v>43</v>
      </c>
      <c r="B44" s="72" t="s">
        <v>318</v>
      </c>
      <c r="C44" s="75" t="s">
        <v>403</v>
      </c>
      <c r="D44" s="72" t="s">
        <v>404</v>
      </c>
      <c r="E44" s="69" t="s">
        <v>22</v>
      </c>
      <c r="F44" s="75" t="s">
        <v>405</v>
      </c>
      <c r="G44" s="75" t="s">
        <v>332</v>
      </c>
      <c r="H44" s="72" t="s">
        <v>38</v>
      </c>
      <c r="I44" s="72" t="s">
        <v>70</v>
      </c>
      <c r="J44" s="75"/>
      <c r="K44" s="72">
        <v>12</v>
      </c>
      <c r="L44" s="67">
        <v>25</v>
      </c>
      <c r="M44" s="75" t="s">
        <v>406</v>
      </c>
      <c r="N44" s="75" t="s">
        <v>72</v>
      </c>
      <c r="O44" s="75" t="s">
        <v>84</v>
      </c>
      <c r="P44" s="75" t="s">
        <v>44</v>
      </c>
      <c r="Q44" s="75" t="s">
        <v>407</v>
      </c>
      <c r="R44" s="75" t="s">
        <v>408</v>
      </c>
      <c r="S44" s="75" t="s">
        <v>409</v>
      </c>
    </row>
    <row r="45" s="53" customFormat="1" ht="190" spans="1:19">
      <c r="A45" s="67">
        <v>44</v>
      </c>
      <c r="B45" s="72" t="s">
        <v>318</v>
      </c>
      <c r="C45" s="75" t="s">
        <v>410</v>
      </c>
      <c r="D45" s="72" t="s">
        <v>411</v>
      </c>
      <c r="E45" s="69" t="s">
        <v>22</v>
      </c>
      <c r="F45" s="75" t="s">
        <v>412</v>
      </c>
      <c r="G45" s="75" t="s">
        <v>356</v>
      </c>
      <c r="H45" s="72" t="s">
        <v>38</v>
      </c>
      <c r="I45" s="72" t="s">
        <v>59</v>
      </c>
      <c r="J45" s="75"/>
      <c r="K45" s="72">
        <v>11</v>
      </c>
      <c r="L45" s="67">
        <v>35</v>
      </c>
      <c r="M45" s="75" t="s">
        <v>413</v>
      </c>
      <c r="N45" s="75" t="s">
        <v>307</v>
      </c>
      <c r="O45" s="75" t="s">
        <v>192</v>
      </c>
      <c r="P45" s="75" t="s">
        <v>44</v>
      </c>
      <c r="Q45" s="75" t="s">
        <v>414</v>
      </c>
      <c r="R45" s="75" t="s">
        <v>415</v>
      </c>
      <c r="S45" s="75" t="s">
        <v>416</v>
      </c>
    </row>
    <row r="46" ht="209" spans="1:19">
      <c r="A46" s="67">
        <v>45</v>
      </c>
      <c r="B46" s="68" t="s">
        <v>318</v>
      </c>
      <c r="C46" s="69" t="s">
        <v>417</v>
      </c>
      <c r="D46" s="68" t="s">
        <v>418</v>
      </c>
      <c r="E46" s="69" t="s">
        <v>22</v>
      </c>
      <c r="F46" s="69" t="s">
        <v>419</v>
      </c>
      <c r="G46" s="69" t="s">
        <v>332</v>
      </c>
      <c r="H46" s="67" t="s">
        <v>38</v>
      </c>
      <c r="I46" s="67" t="s">
        <v>70</v>
      </c>
      <c r="J46" s="69" t="s">
        <v>420</v>
      </c>
      <c r="K46" s="67">
        <v>13</v>
      </c>
      <c r="L46" s="67">
        <v>50</v>
      </c>
      <c r="M46" s="71" t="s">
        <v>421</v>
      </c>
      <c r="N46" s="71" t="s">
        <v>72</v>
      </c>
      <c r="O46" s="71" t="s">
        <v>84</v>
      </c>
      <c r="P46" s="71" t="s">
        <v>44</v>
      </c>
      <c r="Q46" s="71" t="s">
        <v>422</v>
      </c>
      <c r="R46" s="71" t="s">
        <v>423</v>
      </c>
      <c r="S46" s="71" t="s">
        <v>424</v>
      </c>
    </row>
    <row r="47" ht="209" spans="1:19">
      <c r="A47" s="67">
        <v>46</v>
      </c>
      <c r="B47" s="68" t="s">
        <v>318</v>
      </c>
      <c r="C47" s="80" t="s">
        <v>425</v>
      </c>
      <c r="D47" s="68" t="s">
        <v>426</v>
      </c>
      <c r="E47" s="69" t="s">
        <v>22</v>
      </c>
      <c r="F47" s="69" t="s">
        <v>427</v>
      </c>
      <c r="G47" s="69" t="s">
        <v>332</v>
      </c>
      <c r="H47" s="67" t="s">
        <v>38</v>
      </c>
      <c r="I47" s="81" t="s">
        <v>26</v>
      </c>
      <c r="J47" s="82" t="s">
        <v>340</v>
      </c>
      <c r="K47" s="67">
        <v>12</v>
      </c>
      <c r="L47" s="67">
        <v>25</v>
      </c>
      <c r="M47" s="71" t="s">
        <v>428</v>
      </c>
      <c r="N47" s="71" t="s">
        <v>72</v>
      </c>
      <c r="O47" s="71" t="s">
        <v>84</v>
      </c>
      <c r="P47" s="71" t="s">
        <v>44</v>
      </c>
      <c r="Q47" s="71" t="s">
        <v>429</v>
      </c>
      <c r="R47" s="71" t="s">
        <v>430</v>
      </c>
      <c r="S47" s="71" t="s">
        <v>431</v>
      </c>
    </row>
    <row r="48" s="49" customFormat="1" ht="228" spans="1:19">
      <c r="A48" s="67">
        <v>47</v>
      </c>
      <c r="B48" s="72" t="s">
        <v>318</v>
      </c>
      <c r="C48" s="73" t="s">
        <v>432</v>
      </c>
      <c r="D48" s="72" t="s">
        <v>433</v>
      </c>
      <c r="E48" s="69" t="s">
        <v>276</v>
      </c>
      <c r="F48" s="73" t="s">
        <v>434</v>
      </c>
      <c r="G48" s="73" t="s">
        <v>435</v>
      </c>
      <c r="H48" s="74" t="s">
        <v>38</v>
      </c>
      <c r="I48" s="74" t="s">
        <v>348</v>
      </c>
      <c r="J48" s="73"/>
      <c r="K48" s="74">
        <v>14</v>
      </c>
      <c r="L48" s="67">
        <v>60</v>
      </c>
      <c r="M48" s="75" t="s">
        <v>436</v>
      </c>
      <c r="N48" s="75" t="s">
        <v>72</v>
      </c>
      <c r="O48" s="75" t="s">
        <v>43</v>
      </c>
      <c r="P48" s="75" t="s">
        <v>31</v>
      </c>
      <c r="Q48" s="75" t="s">
        <v>437</v>
      </c>
      <c r="R48" s="75" t="s">
        <v>438</v>
      </c>
      <c r="S48" s="75" t="s">
        <v>439</v>
      </c>
    </row>
    <row r="49" ht="409.5" spans="1:19">
      <c r="A49" s="67">
        <v>48</v>
      </c>
      <c r="B49" s="68" t="s">
        <v>318</v>
      </c>
      <c r="C49" s="80" t="s">
        <v>440</v>
      </c>
      <c r="D49" s="68" t="s">
        <v>441</v>
      </c>
      <c r="E49" s="69" t="s">
        <v>276</v>
      </c>
      <c r="F49" s="69" t="s">
        <v>442</v>
      </c>
      <c r="G49" s="69" t="s">
        <v>332</v>
      </c>
      <c r="H49" s="67" t="s">
        <v>38</v>
      </c>
      <c r="I49" s="81" t="s">
        <v>26</v>
      </c>
      <c r="J49" s="82"/>
      <c r="K49" s="67">
        <v>13</v>
      </c>
      <c r="L49" s="67">
        <v>25</v>
      </c>
      <c r="M49" s="71" t="s">
        <v>443</v>
      </c>
      <c r="N49" s="71" t="s">
        <v>72</v>
      </c>
      <c r="O49" s="71" t="s">
        <v>444</v>
      </c>
      <c r="P49" s="71" t="s">
        <v>44</v>
      </c>
      <c r="Q49" s="71" t="s">
        <v>445</v>
      </c>
      <c r="R49" s="71" t="s">
        <v>446</v>
      </c>
      <c r="S49" s="88" t="s">
        <v>447</v>
      </c>
    </row>
    <row r="50" s="52" customFormat="1" ht="409.5" spans="1:19">
      <c r="A50" s="67">
        <v>49</v>
      </c>
      <c r="B50" s="86" t="s">
        <v>318</v>
      </c>
      <c r="C50" s="80" t="s">
        <v>448</v>
      </c>
      <c r="D50" s="87" t="s">
        <v>449</v>
      </c>
      <c r="E50" s="69" t="s">
        <v>22</v>
      </c>
      <c r="F50" s="80" t="s">
        <v>450</v>
      </c>
      <c r="G50" s="80" t="s">
        <v>356</v>
      </c>
      <c r="H50" s="86" t="s">
        <v>25</v>
      </c>
      <c r="I50" s="86" t="s">
        <v>51</v>
      </c>
      <c r="J50" s="80"/>
      <c r="K50" s="87">
        <v>4</v>
      </c>
      <c r="L50" s="67">
        <v>20</v>
      </c>
      <c r="M50" s="80" t="s">
        <v>451</v>
      </c>
      <c r="N50" s="80" t="s">
        <v>72</v>
      </c>
      <c r="O50" s="80" t="s">
        <v>452</v>
      </c>
      <c r="P50" s="80" t="s">
        <v>453</v>
      </c>
      <c r="Q50" s="80" t="s">
        <v>454</v>
      </c>
      <c r="R50" s="80" t="s">
        <v>455</v>
      </c>
      <c r="S50" s="80" t="s">
        <v>456</v>
      </c>
    </row>
    <row r="51" s="52" customFormat="1" ht="247" spans="1:19">
      <c r="A51" s="67">
        <v>50</v>
      </c>
      <c r="B51" s="86" t="s">
        <v>318</v>
      </c>
      <c r="C51" s="80" t="s">
        <v>457</v>
      </c>
      <c r="D51" s="87" t="s">
        <v>458</v>
      </c>
      <c r="E51" s="69" t="s">
        <v>276</v>
      </c>
      <c r="F51" s="80" t="s">
        <v>459</v>
      </c>
      <c r="G51" s="80" t="s">
        <v>332</v>
      </c>
      <c r="H51" s="86" t="s">
        <v>38</v>
      </c>
      <c r="I51" s="86" t="s">
        <v>81</v>
      </c>
      <c r="J51" s="80"/>
      <c r="K51" s="87">
        <v>10</v>
      </c>
      <c r="L51" s="67">
        <v>25</v>
      </c>
      <c r="M51" s="80" t="s">
        <v>460</v>
      </c>
      <c r="N51" s="80" t="s">
        <v>72</v>
      </c>
      <c r="O51" s="80" t="s">
        <v>461</v>
      </c>
      <c r="P51" s="80" t="s">
        <v>31</v>
      </c>
      <c r="Q51" s="80" t="s">
        <v>462</v>
      </c>
      <c r="R51" s="80" t="s">
        <v>463</v>
      </c>
      <c r="S51" s="80" t="s">
        <v>464</v>
      </c>
    </row>
    <row r="52" s="52" customFormat="1" ht="209" spans="1:19">
      <c r="A52" s="67">
        <v>51</v>
      </c>
      <c r="B52" s="86" t="s">
        <v>318</v>
      </c>
      <c r="C52" s="80" t="s">
        <v>465</v>
      </c>
      <c r="D52" s="87" t="s">
        <v>466</v>
      </c>
      <c r="E52" s="69" t="s">
        <v>22</v>
      </c>
      <c r="F52" s="80" t="s">
        <v>467</v>
      </c>
      <c r="G52" s="80" t="s">
        <v>322</v>
      </c>
      <c r="H52" s="86" t="s">
        <v>25</v>
      </c>
      <c r="I52" s="86" t="s">
        <v>39</v>
      </c>
      <c r="J52" s="80"/>
      <c r="K52" s="87">
        <v>4</v>
      </c>
      <c r="L52" s="67">
        <v>25</v>
      </c>
      <c r="M52" s="80" t="s">
        <v>468</v>
      </c>
      <c r="N52" s="80" t="s">
        <v>209</v>
      </c>
      <c r="O52" s="80" t="s">
        <v>469</v>
      </c>
      <c r="P52" s="80" t="s">
        <v>453</v>
      </c>
      <c r="Q52" s="80" t="s">
        <v>470</v>
      </c>
      <c r="R52" s="80" t="s">
        <v>471</v>
      </c>
      <c r="S52" s="80" t="s">
        <v>472</v>
      </c>
    </row>
    <row r="53" ht="228" spans="1:19">
      <c r="A53" s="67">
        <v>52</v>
      </c>
      <c r="B53" s="68" t="s">
        <v>473</v>
      </c>
      <c r="C53" s="69" t="s">
        <v>474</v>
      </c>
      <c r="D53" s="68" t="s">
        <v>475</v>
      </c>
      <c r="E53" s="69" t="s">
        <v>22</v>
      </c>
      <c r="F53" s="69" t="s">
        <v>476</v>
      </c>
      <c r="G53" s="69" t="s">
        <v>477</v>
      </c>
      <c r="H53" s="67" t="s">
        <v>38</v>
      </c>
      <c r="I53" s="67" t="s">
        <v>39</v>
      </c>
      <c r="J53" s="69" t="s">
        <v>224</v>
      </c>
      <c r="K53" s="67">
        <v>11</v>
      </c>
      <c r="L53" s="67">
        <v>60</v>
      </c>
      <c r="M53" s="71" t="s">
        <v>478</v>
      </c>
      <c r="N53" s="71" t="s">
        <v>72</v>
      </c>
      <c r="O53" s="71" t="s">
        <v>479</v>
      </c>
      <c r="P53" s="71" t="s">
        <v>74</v>
      </c>
      <c r="Q53" s="71" t="s">
        <v>480</v>
      </c>
      <c r="R53" s="71" t="s">
        <v>481</v>
      </c>
      <c r="S53" s="71" t="s">
        <v>482</v>
      </c>
    </row>
    <row r="54" ht="209" spans="1:19">
      <c r="A54" s="67">
        <v>53</v>
      </c>
      <c r="B54" s="68" t="s">
        <v>473</v>
      </c>
      <c r="C54" s="69" t="s">
        <v>483</v>
      </c>
      <c r="D54" s="68" t="s">
        <v>484</v>
      </c>
      <c r="E54" s="69" t="s">
        <v>276</v>
      </c>
      <c r="F54" s="69" t="s">
        <v>485</v>
      </c>
      <c r="G54" s="69" t="s">
        <v>477</v>
      </c>
      <c r="H54" s="67" t="s">
        <v>38</v>
      </c>
      <c r="I54" s="67" t="s">
        <v>348</v>
      </c>
      <c r="J54" s="69"/>
      <c r="K54" s="67">
        <v>13</v>
      </c>
      <c r="L54" s="67">
        <v>50</v>
      </c>
      <c r="M54" s="71" t="s">
        <v>486</v>
      </c>
      <c r="N54" s="71" t="s">
        <v>72</v>
      </c>
      <c r="O54" s="71" t="s">
        <v>487</v>
      </c>
      <c r="P54" s="71" t="s">
        <v>74</v>
      </c>
      <c r="Q54" s="71" t="s">
        <v>488</v>
      </c>
      <c r="R54" s="71" t="s">
        <v>489</v>
      </c>
      <c r="S54" s="71" t="s">
        <v>490</v>
      </c>
    </row>
    <row r="55" ht="209" spans="1:19">
      <c r="A55" s="67">
        <v>54</v>
      </c>
      <c r="B55" s="68" t="s">
        <v>473</v>
      </c>
      <c r="C55" s="69" t="s">
        <v>491</v>
      </c>
      <c r="D55" s="68" t="s">
        <v>492</v>
      </c>
      <c r="E55" s="69" t="s">
        <v>276</v>
      </c>
      <c r="F55" s="69" t="s">
        <v>493</v>
      </c>
      <c r="G55" s="69" t="s">
        <v>494</v>
      </c>
      <c r="H55" s="67" t="s">
        <v>38</v>
      </c>
      <c r="I55" s="67" t="s">
        <v>348</v>
      </c>
      <c r="J55" s="69"/>
      <c r="K55" s="67">
        <v>13</v>
      </c>
      <c r="L55" s="67">
        <v>30</v>
      </c>
      <c r="M55" s="71" t="s">
        <v>495</v>
      </c>
      <c r="N55" s="71" t="s">
        <v>72</v>
      </c>
      <c r="O55" s="71" t="s">
        <v>496</v>
      </c>
      <c r="P55" s="71" t="s">
        <v>74</v>
      </c>
      <c r="Q55" s="71" t="s">
        <v>497</v>
      </c>
      <c r="R55" s="71" t="s">
        <v>498</v>
      </c>
      <c r="S55" s="71" t="s">
        <v>499</v>
      </c>
    </row>
    <row r="56" ht="209" spans="1:19">
      <c r="A56" s="67">
        <v>55</v>
      </c>
      <c r="B56" s="68" t="s">
        <v>473</v>
      </c>
      <c r="C56" s="69" t="s">
        <v>500</v>
      </c>
      <c r="D56" s="68" t="s">
        <v>501</v>
      </c>
      <c r="E56" s="69" t="s">
        <v>22</v>
      </c>
      <c r="F56" s="69" t="s">
        <v>502</v>
      </c>
      <c r="G56" s="69" t="s">
        <v>477</v>
      </c>
      <c r="H56" s="67" t="s">
        <v>38</v>
      </c>
      <c r="I56" s="67" t="s">
        <v>182</v>
      </c>
      <c r="J56" s="69"/>
      <c r="K56" s="67">
        <v>12</v>
      </c>
      <c r="L56" s="67">
        <v>25</v>
      </c>
      <c r="M56" s="71" t="s">
        <v>503</v>
      </c>
      <c r="N56" s="71" t="s">
        <v>72</v>
      </c>
      <c r="O56" s="71" t="s">
        <v>43</v>
      </c>
      <c r="P56" s="71" t="s">
        <v>44</v>
      </c>
      <c r="Q56" s="71" t="s">
        <v>504</v>
      </c>
      <c r="R56" s="71" t="s">
        <v>505</v>
      </c>
      <c r="S56" s="71" t="s">
        <v>506</v>
      </c>
    </row>
    <row r="57" ht="209" spans="1:19">
      <c r="A57" s="67">
        <v>56</v>
      </c>
      <c r="B57" s="68" t="s">
        <v>473</v>
      </c>
      <c r="C57" s="69" t="s">
        <v>507</v>
      </c>
      <c r="D57" s="68" t="s">
        <v>508</v>
      </c>
      <c r="E57" s="69" t="s">
        <v>22</v>
      </c>
      <c r="F57" s="69" t="s">
        <v>509</v>
      </c>
      <c r="G57" s="69" t="s">
        <v>477</v>
      </c>
      <c r="H57" s="67" t="s">
        <v>38</v>
      </c>
      <c r="I57" s="67" t="s">
        <v>182</v>
      </c>
      <c r="J57" s="69"/>
      <c r="K57" s="67">
        <v>12</v>
      </c>
      <c r="L57" s="67">
        <v>65</v>
      </c>
      <c r="M57" s="71" t="s">
        <v>510</v>
      </c>
      <c r="N57" s="71" t="s">
        <v>72</v>
      </c>
      <c r="O57" s="71" t="s">
        <v>511</v>
      </c>
      <c r="P57" s="71" t="s">
        <v>44</v>
      </c>
      <c r="Q57" s="71" t="s">
        <v>512</v>
      </c>
      <c r="R57" s="71" t="s">
        <v>513</v>
      </c>
      <c r="S57" s="71" t="s">
        <v>514</v>
      </c>
    </row>
    <row r="58" s="54" customFormat="1" ht="209" spans="1:19">
      <c r="A58" s="67">
        <v>57</v>
      </c>
      <c r="B58" s="72" t="s">
        <v>473</v>
      </c>
      <c r="C58" s="73" t="s">
        <v>515</v>
      </c>
      <c r="D58" s="72" t="s">
        <v>516</v>
      </c>
      <c r="E58" s="69" t="s">
        <v>22</v>
      </c>
      <c r="F58" s="73" t="s">
        <v>517</v>
      </c>
      <c r="G58" s="73" t="s">
        <v>477</v>
      </c>
      <c r="H58" s="74" t="s">
        <v>38</v>
      </c>
      <c r="I58" s="74" t="s">
        <v>39</v>
      </c>
      <c r="J58" s="73"/>
      <c r="K58" s="74">
        <v>11</v>
      </c>
      <c r="L58" s="67">
        <v>70</v>
      </c>
      <c r="M58" s="75" t="s">
        <v>518</v>
      </c>
      <c r="N58" s="75" t="s">
        <v>72</v>
      </c>
      <c r="O58" s="75" t="s">
        <v>519</v>
      </c>
      <c r="P58" s="75" t="s">
        <v>74</v>
      </c>
      <c r="Q58" s="75" t="s">
        <v>520</v>
      </c>
      <c r="R58" s="75" t="s">
        <v>521</v>
      </c>
      <c r="S58" s="75" t="s">
        <v>522</v>
      </c>
    </row>
    <row r="59" ht="228" spans="1:19">
      <c r="A59" s="67">
        <v>58</v>
      </c>
      <c r="B59" s="68" t="s">
        <v>473</v>
      </c>
      <c r="C59" s="69" t="s">
        <v>523</v>
      </c>
      <c r="D59" s="68" t="s">
        <v>524</v>
      </c>
      <c r="E59" s="69" t="s">
        <v>22</v>
      </c>
      <c r="F59" s="69" t="s">
        <v>525</v>
      </c>
      <c r="G59" s="69" t="s">
        <v>477</v>
      </c>
      <c r="H59" s="67" t="s">
        <v>38</v>
      </c>
      <c r="I59" s="67" t="s">
        <v>39</v>
      </c>
      <c r="J59" s="69"/>
      <c r="K59" s="67">
        <v>11</v>
      </c>
      <c r="L59" s="67">
        <v>75</v>
      </c>
      <c r="M59" s="71" t="s">
        <v>526</v>
      </c>
      <c r="N59" s="71" t="s">
        <v>269</v>
      </c>
      <c r="O59" s="71" t="s">
        <v>527</v>
      </c>
      <c r="P59" s="71" t="s">
        <v>44</v>
      </c>
      <c r="Q59" s="71" t="s">
        <v>528</v>
      </c>
      <c r="R59" s="71" t="s">
        <v>529</v>
      </c>
      <c r="S59" s="71" t="s">
        <v>530</v>
      </c>
    </row>
    <row r="60" ht="209" spans="1:19">
      <c r="A60" s="67">
        <v>59</v>
      </c>
      <c r="B60" s="68" t="s">
        <v>473</v>
      </c>
      <c r="C60" s="80" t="s">
        <v>531</v>
      </c>
      <c r="D60" s="68" t="s">
        <v>532</v>
      </c>
      <c r="E60" s="69" t="s">
        <v>22</v>
      </c>
      <c r="F60" s="69" t="s">
        <v>533</v>
      </c>
      <c r="G60" s="69" t="s">
        <v>477</v>
      </c>
      <c r="H60" s="67" t="s">
        <v>38</v>
      </c>
      <c r="I60" s="81" t="s">
        <v>92</v>
      </c>
      <c r="J60" s="82" t="s">
        <v>224</v>
      </c>
      <c r="K60" s="67">
        <v>13</v>
      </c>
      <c r="L60" s="67">
        <v>40</v>
      </c>
      <c r="M60" s="71" t="s">
        <v>534</v>
      </c>
      <c r="N60" s="71" t="s">
        <v>226</v>
      </c>
      <c r="O60" s="71" t="s">
        <v>227</v>
      </c>
      <c r="P60" s="71" t="s">
        <v>74</v>
      </c>
      <c r="Q60" s="71" t="s">
        <v>535</v>
      </c>
      <c r="R60" s="71" t="s">
        <v>536</v>
      </c>
      <c r="S60" s="71" t="s">
        <v>537</v>
      </c>
    </row>
    <row r="61" ht="209" spans="1:19">
      <c r="A61" s="67">
        <v>60</v>
      </c>
      <c r="B61" s="68" t="s">
        <v>473</v>
      </c>
      <c r="C61" s="69" t="s">
        <v>538</v>
      </c>
      <c r="D61" s="68" t="s">
        <v>539</v>
      </c>
      <c r="E61" s="69" t="s">
        <v>22</v>
      </c>
      <c r="F61" s="69" t="s">
        <v>540</v>
      </c>
      <c r="G61" s="69" t="s">
        <v>477</v>
      </c>
      <c r="H61" s="67" t="s">
        <v>38</v>
      </c>
      <c r="I61" s="67" t="s">
        <v>70</v>
      </c>
      <c r="J61" s="69"/>
      <c r="K61" s="67">
        <v>13</v>
      </c>
      <c r="L61" s="67">
        <v>35</v>
      </c>
      <c r="M61" s="71" t="s">
        <v>541</v>
      </c>
      <c r="N61" s="71" t="s">
        <v>72</v>
      </c>
      <c r="O61" s="71" t="s">
        <v>84</v>
      </c>
      <c r="P61" s="71" t="s">
        <v>31</v>
      </c>
      <c r="Q61" s="71" t="s">
        <v>542</v>
      </c>
      <c r="R61" s="71" t="s">
        <v>543</v>
      </c>
      <c r="S61" s="71" t="s">
        <v>544</v>
      </c>
    </row>
    <row r="62" s="55" customFormat="1" ht="228" spans="1:19">
      <c r="A62" s="67">
        <v>61</v>
      </c>
      <c r="B62" s="68" t="s">
        <v>473</v>
      </c>
      <c r="C62" s="69" t="s">
        <v>545</v>
      </c>
      <c r="D62" s="68" t="s">
        <v>546</v>
      </c>
      <c r="E62" s="69" t="s">
        <v>22</v>
      </c>
      <c r="F62" s="69" t="s">
        <v>547</v>
      </c>
      <c r="G62" s="69" t="s">
        <v>477</v>
      </c>
      <c r="H62" s="67" t="s">
        <v>38</v>
      </c>
      <c r="I62" s="67" t="s">
        <v>348</v>
      </c>
      <c r="J62" s="69"/>
      <c r="K62" s="67">
        <v>13</v>
      </c>
      <c r="L62" s="67">
        <v>25</v>
      </c>
      <c r="M62" s="71" t="s">
        <v>548</v>
      </c>
      <c r="N62" s="71" t="s">
        <v>72</v>
      </c>
      <c r="O62" s="71" t="s">
        <v>519</v>
      </c>
      <c r="P62" s="71" t="s">
        <v>44</v>
      </c>
      <c r="Q62" s="71" t="s">
        <v>549</v>
      </c>
      <c r="R62" s="71" t="s">
        <v>550</v>
      </c>
      <c r="S62" s="71" t="s">
        <v>551</v>
      </c>
    </row>
    <row r="63" ht="342" spans="1:19">
      <c r="A63" s="67">
        <v>62</v>
      </c>
      <c r="B63" s="68" t="s">
        <v>473</v>
      </c>
      <c r="C63" s="69" t="s">
        <v>552</v>
      </c>
      <c r="D63" s="68" t="s">
        <v>553</v>
      </c>
      <c r="E63" s="69" t="s">
        <v>22</v>
      </c>
      <c r="F63" s="69" t="s">
        <v>554</v>
      </c>
      <c r="G63" s="69" t="s">
        <v>477</v>
      </c>
      <c r="H63" s="67" t="s">
        <v>38</v>
      </c>
      <c r="I63" s="67" t="s">
        <v>182</v>
      </c>
      <c r="J63" s="69"/>
      <c r="K63" s="67">
        <v>12</v>
      </c>
      <c r="L63" s="67">
        <v>50</v>
      </c>
      <c r="M63" s="71" t="s">
        <v>555</v>
      </c>
      <c r="N63" s="71" t="s">
        <v>42</v>
      </c>
      <c r="O63" s="71" t="s">
        <v>43</v>
      </c>
      <c r="P63" s="71" t="s">
        <v>44</v>
      </c>
      <c r="Q63" s="71" t="s">
        <v>556</v>
      </c>
      <c r="R63" s="71" t="s">
        <v>557</v>
      </c>
      <c r="S63" s="71" t="s">
        <v>558</v>
      </c>
    </row>
    <row r="64" ht="190" spans="1:19">
      <c r="A64" s="67">
        <v>63</v>
      </c>
      <c r="B64" s="68" t="s">
        <v>473</v>
      </c>
      <c r="C64" s="80" t="s">
        <v>559</v>
      </c>
      <c r="D64" s="68" t="s">
        <v>560</v>
      </c>
      <c r="E64" s="69" t="s">
        <v>22</v>
      </c>
      <c r="F64" s="69" t="s">
        <v>561</v>
      </c>
      <c r="G64" s="69" t="s">
        <v>477</v>
      </c>
      <c r="H64" s="67" t="s">
        <v>38</v>
      </c>
      <c r="I64" s="67" t="s">
        <v>348</v>
      </c>
      <c r="J64" s="69"/>
      <c r="K64" s="67">
        <v>13</v>
      </c>
      <c r="L64" s="67">
        <v>50</v>
      </c>
      <c r="M64" s="71" t="s">
        <v>562</v>
      </c>
      <c r="N64" s="71" t="s">
        <v>72</v>
      </c>
      <c r="O64" s="71" t="s">
        <v>43</v>
      </c>
      <c r="P64" s="71" t="s">
        <v>44</v>
      </c>
      <c r="Q64" s="71" t="s">
        <v>563</v>
      </c>
      <c r="R64" s="71" t="s">
        <v>564</v>
      </c>
      <c r="S64" s="71" t="s">
        <v>565</v>
      </c>
    </row>
    <row r="65" ht="228" spans="1:19">
      <c r="A65" s="67">
        <v>64</v>
      </c>
      <c r="B65" s="68" t="s">
        <v>473</v>
      </c>
      <c r="C65" s="69" t="s">
        <v>566</v>
      </c>
      <c r="D65" s="68" t="s">
        <v>567</v>
      </c>
      <c r="E65" s="69" t="s">
        <v>22</v>
      </c>
      <c r="F65" s="69" t="s">
        <v>568</v>
      </c>
      <c r="G65" s="69" t="s">
        <v>569</v>
      </c>
      <c r="H65" s="67" t="s">
        <v>38</v>
      </c>
      <c r="I65" s="67" t="s">
        <v>70</v>
      </c>
      <c r="J65" s="69"/>
      <c r="K65" s="67">
        <v>14</v>
      </c>
      <c r="L65" s="67">
        <v>70</v>
      </c>
      <c r="M65" s="71" t="s">
        <v>570</v>
      </c>
      <c r="N65" s="71" t="s">
        <v>72</v>
      </c>
      <c r="O65" s="71" t="s">
        <v>43</v>
      </c>
      <c r="P65" s="71" t="s">
        <v>44</v>
      </c>
      <c r="Q65" s="71" t="s">
        <v>571</v>
      </c>
      <c r="R65" s="71" t="s">
        <v>572</v>
      </c>
      <c r="S65" s="71" t="s">
        <v>573</v>
      </c>
    </row>
    <row r="66" ht="209" spans="1:19">
      <c r="A66" s="67">
        <v>65</v>
      </c>
      <c r="B66" s="68" t="s">
        <v>473</v>
      </c>
      <c r="C66" s="69" t="s">
        <v>574</v>
      </c>
      <c r="D66" s="68" t="s">
        <v>575</v>
      </c>
      <c r="E66" s="69" t="s">
        <v>276</v>
      </c>
      <c r="F66" s="69" t="s">
        <v>576</v>
      </c>
      <c r="G66" s="69" t="s">
        <v>477</v>
      </c>
      <c r="H66" s="67" t="s">
        <v>38</v>
      </c>
      <c r="I66" s="67" t="s">
        <v>348</v>
      </c>
      <c r="J66" s="69"/>
      <c r="K66" s="67">
        <v>13</v>
      </c>
      <c r="L66" s="67">
        <v>35</v>
      </c>
      <c r="M66" s="71" t="s">
        <v>577</v>
      </c>
      <c r="N66" s="71" t="s">
        <v>298</v>
      </c>
      <c r="O66" s="71" t="s">
        <v>578</v>
      </c>
      <c r="P66" s="71" t="s">
        <v>74</v>
      </c>
      <c r="Q66" s="71" t="s">
        <v>579</v>
      </c>
      <c r="R66" s="71" t="s">
        <v>580</v>
      </c>
      <c r="S66" s="71" t="s">
        <v>581</v>
      </c>
    </row>
    <row r="67" ht="209" spans="1:19">
      <c r="A67" s="67">
        <v>66</v>
      </c>
      <c r="B67" s="68" t="s">
        <v>473</v>
      </c>
      <c r="C67" s="69" t="s">
        <v>582</v>
      </c>
      <c r="D67" s="68" t="s">
        <v>583</v>
      </c>
      <c r="E67" s="69" t="s">
        <v>22</v>
      </c>
      <c r="F67" s="69" t="s">
        <v>584</v>
      </c>
      <c r="G67" s="69" t="s">
        <v>477</v>
      </c>
      <c r="H67" s="67" t="s">
        <v>38</v>
      </c>
      <c r="I67" s="67" t="s">
        <v>348</v>
      </c>
      <c r="J67" s="69"/>
      <c r="K67" s="67">
        <v>13</v>
      </c>
      <c r="L67" s="67">
        <v>50</v>
      </c>
      <c r="M67" s="71" t="s">
        <v>585</v>
      </c>
      <c r="N67" s="71" t="s">
        <v>72</v>
      </c>
      <c r="O67" s="71" t="s">
        <v>444</v>
      </c>
      <c r="P67" s="71" t="s">
        <v>74</v>
      </c>
      <c r="Q67" s="71" t="s">
        <v>586</v>
      </c>
      <c r="R67" s="71" t="s">
        <v>587</v>
      </c>
      <c r="S67" s="71" t="s">
        <v>588</v>
      </c>
    </row>
    <row r="68" ht="285" spans="1:19">
      <c r="A68" s="67">
        <v>67</v>
      </c>
      <c r="B68" s="68" t="s">
        <v>473</v>
      </c>
      <c r="C68" s="69" t="s">
        <v>589</v>
      </c>
      <c r="D68" s="68" t="s">
        <v>590</v>
      </c>
      <c r="E68" s="69" t="s">
        <v>22</v>
      </c>
      <c r="F68" s="69" t="s">
        <v>591</v>
      </c>
      <c r="G68" s="69" t="s">
        <v>477</v>
      </c>
      <c r="H68" s="67" t="s">
        <v>38</v>
      </c>
      <c r="I68" s="67" t="s">
        <v>39</v>
      </c>
      <c r="J68" s="69"/>
      <c r="K68" s="67">
        <v>11</v>
      </c>
      <c r="L68" s="67">
        <v>110</v>
      </c>
      <c r="M68" s="71" t="s">
        <v>592</v>
      </c>
      <c r="N68" s="71" t="s">
        <v>83</v>
      </c>
      <c r="O68" s="71" t="s">
        <v>106</v>
      </c>
      <c r="P68" s="71" t="s">
        <v>44</v>
      </c>
      <c r="Q68" s="71" t="s">
        <v>593</v>
      </c>
      <c r="R68" s="71" t="s">
        <v>594</v>
      </c>
      <c r="S68" s="71" t="s">
        <v>595</v>
      </c>
    </row>
    <row r="69" ht="228" spans="1:19">
      <c r="A69" s="67">
        <v>68</v>
      </c>
      <c r="B69" s="68" t="s">
        <v>473</v>
      </c>
      <c r="C69" s="69" t="s">
        <v>596</v>
      </c>
      <c r="D69" s="68" t="s">
        <v>597</v>
      </c>
      <c r="E69" s="69" t="s">
        <v>22</v>
      </c>
      <c r="F69" s="69" t="s">
        <v>598</v>
      </c>
      <c r="G69" s="69" t="s">
        <v>599</v>
      </c>
      <c r="H69" s="67" t="s">
        <v>38</v>
      </c>
      <c r="I69" s="67" t="s">
        <v>59</v>
      </c>
      <c r="J69" s="69"/>
      <c r="K69" s="67">
        <v>11</v>
      </c>
      <c r="L69" s="67">
        <v>75</v>
      </c>
      <c r="M69" s="71" t="s">
        <v>600</v>
      </c>
      <c r="N69" s="71" t="s">
        <v>72</v>
      </c>
      <c r="O69" s="71" t="s">
        <v>601</v>
      </c>
      <c r="P69" s="71" t="s">
        <v>74</v>
      </c>
      <c r="Q69" s="71" t="s">
        <v>602</v>
      </c>
      <c r="R69" s="71" t="s">
        <v>603</v>
      </c>
      <c r="S69" s="71" t="s">
        <v>604</v>
      </c>
    </row>
    <row r="70" ht="209" spans="1:19">
      <c r="A70" s="67">
        <v>69</v>
      </c>
      <c r="B70" s="68" t="s">
        <v>473</v>
      </c>
      <c r="C70" s="69" t="s">
        <v>605</v>
      </c>
      <c r="D70" s="68" t="s">
        <v>606</v>
      </c>
      <c r="E70" s="69" t="s">
        <v>22</v>
      </c>
      <c r="F70" s="69" t="s">
        <v>607</v>
      </c>
      <c r="G70" s="69" t="s">
        <v>477</v>
      </c>
      <c r="H70" s="67" t="s">
        <v>38</v>
      </c>
      <c r="I70" s="67" t="s">
        <v>39</v>
      </c>
      <c r="J70" s="69"/>
      <c r="K70" s="67">
        <v>10</v>
      </c>
      <c r="L70" s="67">
        <v>35</v>
      </c>
      <c r="M70" s="71" t="s">
        <v>608</v>
      </c>
      <c r="N70" s="71" t="s">
        <v>609</v>
      </c>
      <c r="O70" s="71" t="s">
        <v>43</v>
      </c>
      <c r="P70" s="71" t="s">
        <v>44</v>
      </c>
      <c r="Q70" s="71" t="s">
        <v>610</v>
      </c>
      <c r="R70" s="71" t="s">
        <v>611</v>
      </c>
      <c r="S70" s="71" t="s">
        <v>612</v>
      </c>
    </row>
    <row r="71" ht="190" spans="1:19">
      <c r="A71" s="67">
        <v>70</v>
      </c>
      <c r="B71" s="68" t="s">
        <v>473</v>
      </c>
      <c r="C71" s="69" t="s">
        <v>613</v>
      </c>
      <c r="D71" s="68" t="s">
        <v>614</v>
      </c>
      <c r="E71" s="69" t="s">
        <v>22</v>
      </c>
      <c r="F71" s="69" t="s">
        <v>615</v>
      </c>
      <c r="G71" s="69" t="s">
        <v>477</v>
      </c>
      <c r="H71" s="67" t="s">
        <v>38</v>
      </c>
      <c r="I71" s="67" t="s">
        <v>70</v>
      </c>
      <c r="J71" s="69"/>
      <c r="K71" s="67">
        <v>12</v>
      </c>
      <c r="L71" s="67">
        <v>30</v>
      </c>
      <c r="M71" s="71" t="s">
        <v>616</v>
      </c>
      <c r="N71" s="71" t="s">
        <v>72</v>
      </c>
      <c r="O71" s="71" t="s">
        <v>84</v>
      </c>
      <c r="P71" s="71" t="s">
        <v>44</v>
      </c>
      <c r="Q71" s="71" t="s">
        <v>617</v>
      </c>
      <c r="R71" s="71" t="s">
        <v>618</v>
      </c>
      <c r="S71" s="71" t="s">
        <v>619</v>
      </c>
    </row>
    <row r="72" ht="228" spans="1:19">
      <c r="A72" s="67">
        <v>71</v>
      </c>
      <c r="B72" s="68" t="s">
        <v>473</v>
      </c>
      <c r="C72" s="69" t="s">
        <v>620</v>
      </c>
      <c r="D72" s="68" t="s">
        <v>621</v>
      </c>
      <c r="E72" s="69" t="s">
        <v>22</v>
      </c>
      <c r="F72" s="69" t="s">
        <v>622</v>
      </c>
      <c r="G72" s="69" t="s">
        <v>477</v>
      </c>
      <c r="H72" s="67" t="s">
        <v>38</v>
      </c>
      <c r="I72" s="67" t="s">
        <v>182</v>
      </c>
      <c r="J72" s="69"/>
      <c r="K72" s="67">
        <v>12</v>
      </c>
      <c r="L72" s="67">
        <v>50</v>
      </c>
      <c r="M72" s="71" t="s">
        <v>623</v>
      </c>
      <c r="N72" s="71" t="s">
        <v>72</v>
      </c>
      <c r="O72" s="71" t="s">
        <v>624</v>
      </c>
      <c r="P72" s="71" t="s">
        <v>31</v>
      </c>
      <c r="Q72" s="71" t="s">
        <v>625</v>
      </c>
      <c r="R72" s="71" t="s">
        <v>626</v>
      </c>
      <c r="S72" s="71" t="s">
        <v>627</v>
      </c>
    </row>
    <row r="73" ht="209" spans="1:19">
      <c r="A73" s="67">
        <v>72</v>
      </c>
      <c r="B73" s="68" t="s">
        <v>473</v>
      </c>
      <c r="C73" s="69" t="s">
        <v>628</v>
      </c>
      <c r="D73" s="68" t="s">
        <v>629</v>
      </c>
      <c r="E73" s="69" t="s">
        <v>276</v>
      </c>
      <c r="F73" s="69" t="s">
        <v>630</v>
      </c>
      <c r="G73" s="69" t="s">
        <v>477</v>
      </c>
      <c r="H73" s="67" t="s">
        <v>38</v>
      </c>
      <c r="I73" s="67" t="s">
        <v>348</v>
      </c>
      <c r="J73" s="69"/>
      <c r="K73" s="67">
        <v>13</v>
      </c>
      <c r="L73" s="67">
        <v>25</v>
      </c>
      <c r="M73" s="71" t="s">
        <v>631</v>
      </c>
      <c r="N73" s="71" t="s">
        <v>72</v>
      </c>
      <c r="O73" s="71" t="s">
        <v>444</v>
      </c>
      <c r="P73" s="71" t="s">
        <v>74</v>
      </c>
      <c r="Q73" s="71" t="s">
        <v>632</v>
      </c>
      <c r="R73" s="71" t="s">
        <v>633</v>
      </c>
      <c r="S73" s="71" t="s">
        <v>634</v>
      </c>
    </row>
    <row r="74" ht="209" spans="1:19">
      <c r="A74" s="67">
        <v>73</v>
      </c>
      <c r="B74" s="68" t="s">
        <v>473</v>
      </c>
      <c r="C74" s="69" t="s">
        <v>635</v>
      </c>
      <c r="D74" s="68" t="s">
        <v>636</v>
      </c>
      <c r="E74" s="69" t="s">
        <v>22</v>
      </c>
      <c r="F74" s="69" t="s">
        <v>637</v>
      </c>
      <c r="G74" s="69" t="s">
        <v>477</v>
      </c>
      <c r="H74" s="67" t="s">
        <v>38</v>
      </c>
      <c r="I74" s="67" t="s">
        <v>39</v>
      </c>
      <c r="J74" s="69" t="s">
        <v>224</v>
      </c>
      <c r="K74" s="67">
        <v>11</v>
      </c>
      <c r="L74" s="67">
        <v>60</v>
      </c>
      <c r="M74" s="71" t="s">
        <v>638</v>
      </c>
      <c r="N74" s="71" t="s">
        <v>72</v>
      </c>
      <c r="O74" s="71" t="s">
        <v>479</v>
      </c>
      <c r="P74" s="71" t="s">
        <v>74</v>
      </c>
      <c r="Q74" s="71" t="s">
        <v>639</v>
      </c>
      <c r="R74" s="71" t="s">
        <v>640</v>
      </c>
      <c r="S74" s="71" t="s">
        <v>641</v>
      </c>
    </row>
    <row r="75" ht="209" spans="1:19">
      <c r="A75" s="67">
        <v>74</v>
      </c>
      <c r="B75" s="68" t="s">
        <v>473</v>
      </c>
      <c r="C75" s="69" t="s">
        <v>642</v>
      </c>
      <c r="D75" s="68" t="s">
        <v>643</v>
      </c>
      <c r="E75" s="69" t="s">
        <v>22</v>
      </c>
      <c r="F75" s="69" t="s">
        <v>644</v>
      </c>
      <c r="G75" s="69" t="s">
        <v>477</v>
      </c>
      <c r="H75" s="67" t="s">
        <v>25</v>
      </c>
      <c r="I75" s="67" t="s">
        <v>81</v>
      </c>
      <c r="J75" s="69"/>
      <c r="K75" s="67">
        <v>8</v>
      </c>
      <c r="L75" s="67">
        <v>20</v>
      </c>
      <c r="M75" s="71" t="s">
        <v>645</v>
      </c>
      <c r="N75" s="71" t="s">
        <v>72</v>
      </c>
      <c r="O75" s="71" t="s">
        <v>646</v>
      </c>
      <c r="P75" s="71" t="s">
        <v>31</v>
      </c>
      <c r="Q75" s="71" t="s">
        <v>647</v>
      </c>
      <c r="R75" s="71" t="s">
        <v>648</v>
      </c>
      <c r="S75" s="71" t="s">
        <v>649</v>
      </c>
    </row>
    <row r="76" ht="190" spans="1:19">
      <c r="A76" s="67">
        <v>75</v>
      </c>
      <c r="B76" s="68" t="s">
        <v>473</v>
      </c>
      <c r="C76" s="69" t="s">
        <v>650</v>
      </c>
      <c r="D76" s="68" t="s">
        <v>651</v>
      </c>
      <c r="E76" s="69" t="s">
        <v>22</v>
      </c>
      <c r="F76" s="69" t="s">
        <v>652</v>
      </c>
      <c r="G76" s="69" t="s">
        <v>477</v>
      </c>
      <c r="H76" s="67" t="s">
        <v>38</v>
      </c>
      <c r="I76" s="67" t="s">
        <v>70</v>
      </c>
      <c r="J76" s="69"/>
      <c r="K76" s="67">
        <v>12</v>
      </c>
      <c r="L76" s="67">
        <v>20</v>
      </c>
      <c r="M76" s="71" t="s">
        <v>653</v>
      </c>
      <c r="N76" s="71" t="s">
        <v>72</v>
      </c>
      <c r="O76" s="71" t="s">
        <v>654</v>
      </c>
      <c r="P76" s="71" t="s">
        <v>44</v>
      </c>
      <c r="Q76" s="71" t="s">
        <v>655</v>
      </c>
      <c r="R76" s="71" t="s">
        <v>656</v>
      </c>
      <c r="S76" s="71" t="s">
        <v>657</v>
      </c>
    </row>
    <row r="77" s="50" customFormat="1" ht="190" spans="1:19">
      <c r="A77" s="67">
        <v>76</v>
      </c>
      <c r="B77" s="68" t="s">
        <v>473</v>
      </c>
      <c r="C77" s="71" t="s">
        <v>658</v>
      </c>
      <c r="D77" s="68" t="s">
        <v>659</v>
      </c>
      <c r="E77" s="69" t="s">
        <v>22</v>
      </c>
      <c r="F77" s="71" t="s">
        <v>660</v>
      </c>
      <c r="G77" s="71" t="s">
        <v>661</v>
      </c>
      <c r="H77" s="68" t="s">
        <v>25</v>
      </c>
      <c r="I77" s="68" t="s">
        <v>51</v>
      </c>
      <c r="J77" s="71"/>
      <c r="K77" s="68">
        <v>10</v>
      </c>
      <c r="L77" s="67">
        <v>40</v>
      </c>
      <c r="M77" s="71" t="s">
        <v>662</v>
      </c>
      <c r="N77" s="71" t="s">
        <v>72</v>
      </c>
      <c r="O77" s="71" t="s">
        <v>663</v>
      </c>
      <c r="P77" s="71" t="s">
        <v>44</v>
      </c>
      <c r="Q77" s="71" t="s">
        <v>664</v>
      </c>
      <c r="R77" s="71" t="s">
        <v>665</v>
      </c>
      <c r="S77" s="71" t="s">
        <v>666</v>
      </c>
    </row>
    <row r="78" s="50" customFormat="1" ht="209" spans="1:19">
      <c r="A78" s="67">
        <v>77</v>
      </c>
      <c r="B78" s="68" t="s">
        <v>473</v>
      </c>
      <c r="C78" s="71" t="s">
        <v>667</v>
      </c>
      <c r="D78" s="68" t="s">
        <v>668</v>
      </c>
      <c r="E78" s="69" t="s">
        <v>22</v>
      </c>
      <c r="F78" s="71" t="s">
        <v>669</v>
      </c>
      <c r="G78" s="71" t="s">
        <v>661</v>
      </c>
      <c r="H78" s="68" t="s">
        <v>38</v>
      </c>
      <c r="I78" s="68" t="s">
        <v>182</v>
      </c>
      <c r="J78" s="71"/>
      <c r="K78" s="68">
        <v>12</v>
      </c>
      <c r="L78" s="67">
        <v>30</v>
      </c>
      <c r="M78" s="71" t="s">
        <v>670</v>
      </c>
      <c r="N78" s="71" t="s">
        <v>252</v>
      </c>
      <c r="O78" s="71" t="s">
        <v>519</v>
      </c>
      <c r="P78" s="71" t="s">
        <v>44</v>
      </c>
      <c r="Q78" s="71" t="s">
        <v>671</v>
      </c>
      <c r="R78" s="71" t="s">
        <v>672</v>
      </c>
      <c r="S78" s="71" t="s">
        <v>673</v>
      </c>
    </row>
    <row r="79" s="50" customFormat="1" ht="209" spans="1:19">
      <c r="A79" s="67">
        <v>78</v>
      </c>
      <c r="B79" s="68" t="s">
        <v>473</v>
      </c>
      <c r="C79" s="71" t="s">
        <v>674</v>
      </c>
      <c r="D79" s="68" t="s">
        <v>675</v>
      </c>
      <c r="E79" s="69" t="s">
        <v>22</v>
      </c>
      <c r="F79" s="71" t="s">
        <v>676</v>
      </c>
      <c r="G79" s="71" t="s">
        <v>661</v>
      </c>
      <c r="H79" s="68" t="s">
        <v>38</v>
      </c>
      <c r="I79" s="68" t="s">
        <v>182</v>
      </c>
      <c r="J79" s="71"/>
      <c r="K79" s="68">
        <v>12</v>
      </c>
      <c r="L79" s="67">
        <v>35</v>
      </c>
      <c r="M79" s="71" t="s">
        <v>677</v>
      </c>
      <c r="N79" s="71" t="s">
        <v>72</v>
      </c>
      <c r="O79" s="71" t="s">
        <v>678</v>
      </c>
      <c r="P79" s="71" t="s">
        <v>44</v>
      </c>
      <c r="Q79" s="71" t="s">
        <v>679</v>
      </c>
      <c r="R79" s="71" t="s">
        <v>680</v>
      </c>
      <c r="S79" s="71" t="s">
        <v>681</v>
      </c>
    </row>
    <row r="80" s="52" customFormat="1" ht="228" spans="1:19">
      <c r="A80" s="67">
        <v>79</v>
      </c>
      <c r="B80" s="86" t="s">
        <v>473</v>
      </c>
      <c r="C80" s="80" t="s">
        <v>682</v>
      </c>
      <c r="D80" s="87" t="s">
        <v>683</v>
      </c>
      <c r="E80" s="69" t="s">
        <v>276</v>
      </c>
      <c r="F80" s="80" t="s">
        <v>684</v>
      </c>
      <c r="G80" s="80" t="s">
        <v>477</v>
      </c>
      <c r="H80" s="86" t="s">
        <v>38</v>
      </c>
      <c r="I80" s="86" t="s">
        <v>39</v>
      </c>
      <c r="J80" s="80"/>
      <c r="K80" s="87">
        <v>10</v>
      </c>
      <c r="L80" s="67">
        <v>40</v>
      </c>
      <c r="M80" s="80" t="s">
        <v>685</v>
      </c>
      <c r="N80" s="80" t="s">
        <v>72</v>
      </c>
      <c r="O80" s="80" t="s">
        <v>686</v>
      </c>
      <c r="P80" s="80" t="s">
        <v>31</v>
      </c>
      <c r="Q80" s="80" t="s">
        <v>687</v>
      </c>
      <c r="R80" s="80" t="s">
        <v>688</v>
      </c>
      <c r="S80" s="80" t="s">
        <v>689</v>
      </c>
    </row>
    <row r="81" s="52" customFormat="1" ht="285" spans="1:19">
      <c r="A81" s="67">
        <v>80</v>
      </c>
      <c r="B81" s="86" t="s">
        <v>473</v>
      </c>
      <c r="C81" s="80" t="s">
        <v>690</v>
      </c>
      <c r="D81" s="87" t="s">
        <v>691</v>
      </c>
      <c r="E81" s="69" t="s">
        <v>276</v>
      </c>
      <c r="F81" s="80" t="s">
        <v>692</v>
      </c>
      <c r="G81" s="80" t="s">
        <v>693</v>
      </c>
      <c r="H81" s="86" t="s">
        <v>38</v>
      </c>
      <c r="I81" s="86" t="s">
        <v>81</v>
      </c>
      <c r="J81" s="80"/>
      <c r="K81" s="87">
        <v>10</v>
      </c>
      <c r="L81" s="67">
        <v>25</v>
      </c>
      <c r="M81" s="80" t="s">
        <v>694</v>
      </c>
      <c r="N81" s="80" t="s">
        <v>72</v>
      </c>
      <c r="O81" s="80" t="s">
        <v>695</v>
      </c>
      <c r="P81" s="80" t="s">
        <v>31</v>
      </c>
      <c r="Q81" s="80" t="s">
        <v>696</v>
      </c>
      <c r="R81" s="80" t="s">
        <v>697</v>
      </c>
      <c r="S81" s="80" t="s">
        <v>698</v>
      </c>
    </row>
    <row r="82" ht="209" spans="1:19">
      <c r="A82" s="67">
        <v>81</v>
      </c>
      <c r="B82" s="68" t="s">
        <v>699</v>
      </c>
      <c r="C82" s="80" t="s">
        <v>700</v>
      </c>
      <c r="D82" s="68" t="s">
        <v>701</v>
      </c>
      <c r="E82" s="69" t="s">
        <v>22</v>
      </c>
      <c r="F82" s="69" t="s">
        <v>702</v>
      </c>
      <c r="G82" s="69" t="s">
        <v>703</v>
      </c>
      <c r="H82" s="67" t="s">
        <v>25</v>
      </c>
      <c r="I82" s="76" t="s">
        <v>278</v>
      </c>
      <c r="J82" s="77"/>
      <c r="K82" s="67">
        <v>6</v>
      </c>
      <c r="L82" s="67">
        <v>30</v>
      </c>
      <c r="M82" s="71" t="s">
        <v>704</v>
      </c>
      <c r="N82" s="71" t="s">
        <v>72</v>
      </c>
      <c r="O82" s="71" t="s">
        <v>705</v>
      </c>
      <c r="P82" s="71" t="s">
        <v>44</v>
      </c>
      <c r="Q82" s="71" t="s">
        <v>706</v>
      </c>
      <c r="R82" s="71" t="s">
        <v>707</v>
      </c>
      <c r="S82" s="71" t="s">
        <v>708</v>
      </c>
    </row>
    <row r="83" ht="209" spans="1:19">
      <c r="A83" s="67">
        <v>82</v>
      </c>
      <c r="B83" s="68" t="s">
        <v>699</v>
      </c>
      <c r="C83" s="69" t="s">
        <v>709</v>
      </c>
      <c r="D83" s="68" t="s">
        <v>710</v>
      </c>
      <c r="E83" s="69" t="s">
        <v>22</v>
      </c>
      <c r="F83" s="69" t="s">
        <v>711</v>
      </c>
      <c r="G83" s="69" t="s">
        <v>712</v>
      </c>
      <c r="H83" s="67" t="s">
        <v>25</v>
      </c>
      <c r="I83" s="67" t="s">
        <v>51</v>
      </c>
      <c r="J83" s="69"/>
      <c r="K83" s="67">
        <v>10</v>
      </c>
      <c r="L83" s="67">
        <v>50</v>
      </c>
      <c r="M83" s="71" t="s">
        <v>713</v>
      </c>
      <c r="N83" s="71" t="s">
        <v>72</v>
      </c>
      <c r="O83" s="71" t="s">
        <v>714</v>
      </c>
      <c r="P83" s="71" t="s">
        <v>44</v>
      </c>
      <c r="Q83" s="71" t="s">
        <v>715</v>
      </c>
      <c r="R83" s="71" t="s">
        <v>716</v>
      </c>
      <c r="S83" s="71" t="s">
        <v>717</v>
      </c>
    </row>
    <row r="84" ht="190" spans="1:19">
      <c r="A84" s="67">
        <v>83</v>
      </c>
      <c r="B84" s="68" t="s">
        <v>699</v>
      </c>
      <c r="C84" s="69" t="s">
        <v>718</v>
      </c>
      <c r="D84" s="68" t="s">
        <v>719</v>
      </c>
      <c r="E84" s="69" t="s">
        <v>22</v>
      </c>
      <c r="F84" s="69" t="s">
        <v>720</v>
      </c>
      <c r="G84" s="69" t="s">
        <v>721</v>
      </c>
      <c r="H84" s="67" t="s">
        <v>38</v>
      </c>
      <c r="I84" s="67" t="s">
        <v>182</v>
      </c>
      <c r="J84" s="69"/>
      <c r="K84" s="67">
        <v>8</v>
      </c>
      <c r="L84" s="67">
        <v>20</v>
      </c>
      <c r="M84" s="71" t="s">
        <v>722</v>
      </c>
      <c r="N84" s="71" t="s">
        <v>72</v>
      </c>
      <c r="O84" s="71" t="s">
        <v>714</v>
      </c>
      <c r="P84" s="71" t="s">
        <v>31</v>
      </c>
      <c r="Q84" s="71" t="s">
        <v>723</v>
      </c>
      <c r="R84" s="71" t="s">
        <v>724</v>
      </c>
      <c r="S84" s="71" t="s">
        <v>725</v>
      </c>
    </row>
    <row r="85" ht="209" spans="1:19">
      <c r="A85" s="67">
        <v>84</v>
      </c>
      <c r="B85" s="68" t="s">
        <v>699</v>
      </c>
      <c r="C85" s="69" t="s">
        <v>726</v>
      </c>
      <c r="D85" s="68" t="s">
        <v>727</v>
      </c>
      <c r="E85" s="69" t="s">
        <v>22</v>
      </c>
      <c r="F85" s="69" t="s">
        <v>728</v>
      </c>
      <c r="G85" s="69" t="s">
        <v>729</v>
      </c>
      <c r="H85" s="67" t="s">
        <v>25</v>
      </c>
      <c r="I85" s="67" t="s">
        <v>51</v>
      </c>
      <c r="J85" s="69"/>
      <c r="K85" s="67">
        <v>10</v>
      </c>
      <c r="L85" s="67">
        <v>50</v>
      </c>
      <c r="M85" s="71" t="s">
        <v>730</v>
      </c>
      <c r="N85" s="71" t="s">
        <v>307</v>
      </c>
      <c r="O85" s="71" t="s">
        <v>210</v>
      </c>
      <c r="P85" s="71" t="s">
        <v>44</v>
      </c>
      <c r="Q85" s="71" t="s">
        <v>731</v>
      </c>
      <c r="R85" s="71" t="s">
        <v>732</v>
      </c>
      <c r="S85" s="71" t="s">
        <v>733</v>
      </c>
    </row>
    <row r="86" ht="209" spans="1:19">
      <c r="A86" s="67">
        <v>85</v>
      </c>
      <c r="B86" s="68" t="s">
        <v>699</v>
      </c>
      <c r="C86" s="80" t="s">
        <v>734</v>
      </c>
      <c r="D86" s="68" t="s">
        <v>735</v>
      </c>
      <c r="E86" s="69" t="s">
        <v>22</v>
      </c>
      <c r="F86" s="69" t="s">
        <v>736</v>
      </c>
      <c r="G86" s="69" t="s">
        <v>737</v>
      </c>
      <c r="H86" s="67" t="s">
        <v>38</v>
      </c>
      <c r="I86" s="76" t="s">
        <v>278</v>
      </c>
      <c r="J86" s="77"/>
      <c r="K86" s="67">
        <v>11</v>
      </c>
      <c r="L86" s="67">
        <v>70</v>
      </c>
      <c r="M86" s="71" t="s">
        <v>738</v>
      </c>
      <c r="N86" s="71" t="s">
        <v>72</v>
      </c>
      <c r="O86" s="71" t="s">
        <v>84</v>
      </c>
      <c r="P86" s="71" t="s">
        <v>44</v>
      </c>
      <c r="Q86" s="71" t="s">
        <v>739</v>
      </c>
      <c r="R86" s="71" t="s">
        <v>740</v>
      </c>
      <c r="S86" s="71" t="s">
        <v>741</v>
      </c>
    </row>
    <row r="87" s="50" customFormat="1" ht="190" spans="1:19">
      <c r="A87" s="67">
        <v>86</v>
      </c>
      <c r="B87" s="68" t="s">
        <v>699</v>
      </c>
      <c r="C87" s="80" t="s">
        <v>742</v>
      </c>
      <c r="D87" s="68" t="s">
        <v>743</v>
      </c>
      <c r="E87" s="69" t="s">
        <v>22</v>
      </c>
      <c r="F87" s="71" t="s">
        <v>744</v>
      </c>
      <c r="G87" s="71" t="s">
        <v>712</v>
      </c>
      <c r="H87" s="68" t="s">
        <v>38</v>
      </c>
      <c r="I87" s="68" t="s">
        <v>182</v>
      </c>
      <c r="J87" s="71"/>
      <c r="K87" s="68">
        <v>12</v>
      </c>
      <c r="L87" s="67">
        <v>30</v>
      </c>
      <c r="M87" s="71" t="s">
        <v>745</v>
      </c>
      <c r="N87" s="71" t="s">
        <v>72</v>
      </c>
      <c r="O87" s="71" t="s">
        <v>43</v>
      </c>
      <c r="P87" s="71" t="s">
        <v>44</v>
      </c>
      <c r="Q87" s="71" t="s">
        <v>746</v>
      </c>
      <c r="R87" s="71" t="s">
        <v>747</v>
      </c>
      <c r="S87" s="71" t="s">
        <v>748</v>
      </c>
    </row>
    <row r="88" ht="190" spans="1:19">
      <c r="A88" s="67">
        <v>87</v>
      </c>
      <c r="B88" s="68" t="s">
        <v>699</v>
      </c>
      <c r="C88" s="69" t="s">
        <v>749</v>
      </c>
      <c r="D88" s="68" t="s">
        <v>750</v>
      </c>
      <c r="E88" s="69" t="s">
        <v>22</v>
      </c>
      <c r="F88" s="69" t="s">
        <v>751</v>
      </c>
      <c r="G88" s="69" t="s">
        <v>752</v>
      </c>
      <c r="H88" s="67" t="s">
        <v>38</v>
      </c>
      <c r="I88" s="67" t="s">
        <v>70</v>
      </c>
      <c r="J88" s="69" t="s">
        <v>224</v>
      </c>
      <c r="K88" s="67">
        <v>12</v>
      </c>
      <c r="L88" s="67">
        <v>30</v>
      </c>
      <c r="M88" s="71" t="s">
        <v>753</v>
      </c>
      <c r="N88" s="71" t="s">
        <v>72</v>
      </c>
      <c r="O88" s="71" t="s">
        <v>95</v>
      </c>
      <c r="P88" s="71" t="s">
        <v>74</v>
      </c>
      <c r="Q88" s="71" t="s">
        <v>754</v>
      </c>
      <c r="R88" s="71" t="s">
        <v>755</v>
      </c>
      <c r="S88" s="71" t="s">
        <v>756</v>
      </c>
    </row>
    <row r="89" ht="190" spans="1:19">
      <c r="A89" s="67">
        <v>88</v>
      </c>
      <c r="B89" s="68" t="s">
        <v>699</v>
      </c>
      <c r="C89" s="69" t="s">
        <v>757</v>
      </c>
      <c r="D89" s="68" t="s">
        <v>758</v>
      </c>
      <c r="E89" s="69" t="s">
        <v>22</v>
      </c>
      <c r="F89" s="69" t="s">
        <v>759</v>
      </c>
      <c r="G89" s="69" t="s">
        <v>296</v>
      </c>
      <c r="H89" s="67" t="s">
        <v>38</v>
      </c>
      <c r="I89" s="67" t="s">
        <v>182</v>
      </c>
      <c r="J89" s="69"/>
      <c r="K89" s="67">
        <v>12</v>
      </c>
      <c r="L89" s="67">
        <v>25</v>
      </c>
      <c r="M89" s="71" t="s">
        <v>760</v>
      </c>
      <c r="N89" s="71" t="s">
        <v>298</v>
      </c>
      <c r="O89" s="71" t="s">
        <v>654</v>
      </c>
      <c r="P89" s="71" t="s">
        <v>74</v>
      </c>
      <c r="Q89" s="71" t="s">
        <v>761</v>
      </c>
      <c r="R89" s="71" t="s">
        <v>762</v>
      </c>
      <c r="S89" s="71" t="s">
        <v>763</v>
      </c>
    </row>
    <row r="90" ht="190" spans="1:19">
      <c r="A90" s="67">
        <v>89</v>
      </c>
      <c r="B90" s="68" t="s">
        <v>699</v>
      </c>
      <c r="C90" s="69" t="s">
        <v>764</v>
      </c>
      <c r="D90" s="68" t="s">
        <v>765</v>
      </c>
      <c r="E90" s="69" t="s">
        <v>22</v>
      </c>
      <c r="F90" s="69" t="s">
        <v>766</v>
      </c>
      <c r="G90" s="69" t="s">
        <v>703</v>
      </c>
      <c r="H90" s="67" t="s">
        <v>38</v>
      </c>
      <c r="I90" s="67" t="s">
        <v>103</v>
      </c>
      <c r="J90" s="69"/>
      <c r="K90" s="67">
        <v>10</v>
      </c>
      <c r="L90" s="67">
        <v>40</v>
      </c>
      <c r="M90" s="71" t="s">
        <v>767</v>
      </c>
      <c r="N90" s="71" t="s">
        <v>72</v>
      </c>
      <c r="O90" s="71" t="s">
        <v>714</v>
      </c>
      <c r="P90" s="71" t="s">
        <v>74</v>
      </c>
      <c r="Q90" s="71" t="s">
        <v>768</v>
      </c>
      <c r="R90" s="71" t="s">
        <v>769</v>
      </c>
      <c r="S90" s="71" t="s">
        <v>770</v>
      </c>
    </row>
    <row r="91" ht="190" spans="1:19">
      <c r="A91" s="67">
        <v>90</v>
      </c>
      <c r="B91" s="68" t="s">
        <v>699</v>
      </c>
      <c r="C91" s="80" t="s">
        <v>771</v>
      </c>
      <c r="D91" s="68" t="s">
        <v>772</v>
      </c>
      <c r="E91" s="69" t="s">
        <v>22</v>
      </c>
      <c r="F91" s="69" t="s">
        <v>773</v>
      </c>
      <c r="G91" s="69" t="s">
        <v>721</v>
      </c>
      <c r="H91" s="67" t="s">
        <v>38</v>
      </c>
      <c r="I91" s="67" t="s">
        <v>70</v>
      </c>
      <c r="J91" s="69"/>
      <c r="K91" s="67">
        <v>12</v>
      </c>
      <c r="L91" s="67">
        <v>30</v>
      </c>
      <c r="M91" s="71" t="s">
        <v>774</v>
      </c>
      <c r="N91" s="71" t="s">
        <v>72</v>
      </c>
      <c r="O91" s="71" t="s">
        <v>84</v>
      </c>
      <c r="P91" s="71" t="s">
        <v>44</v>
      </c>
      <c r="Q91" s="71" t="s">
        <v>775</v>
      </c>
      <c r="R91" s="71" t="s">
        <v>776</v>
      </c>
      <c r="S91" s="71" t="s">
        <v>777</v>
      </c>
    </row>
    <row r="92" ht="209" spans="1:19">
      <c r="A92" s="67">
        <v>91</v>
      </c>
      <c r="B92" s="68" t="s">
        <v>699</v>
      </c>
      <c r="C92" s="69" t="s">
        <v>778</v>
      </c>
      <c r="D92" s="68" t="s">
        <v>779</v>
      </c>
      <c r="E92" s="69" t="s">
        <v>276</v>
      </c>
      <c r="F92" s="69" t="s">
        <v>780</v>
      </c>
      <c r="G92" s="69" t="s">
        <v>721</v>
      </c>
      <c r="H92" s="67" t="s">
        <v>38</v>
      </c>
      <c r="I92" s="67" t="s">
        <v>348</v>
      </c>
      <c r="J92" s="69"/>
      <c r="K92" s="67">
        <v>13</v>
      </c>
      <c r="L92" s="67">
        <v>25</v>
      </c>
      <c r="M92" s="71" t="s">
        <v>781</v>
      </c>
      <c r="N92" s="71" t="s">
        <v>72</v>
      </c>
      <c r="O92" s="71" t="s">
        <v>84</v>
      </c>
      <c r="P92" s="71" t="s">
        <v>31</v>
      </c>
      <c r="Q92" s="71" t="s">
        <v>782</v>
      </c>
      <c r="R92" s="71" t="s">
        <v>783</v>
      </c>
      <c r="S92" s="71" t="s">
        <v>784</v>
      </c>
    </row>
    <row r="93" ht="190" spans="1:19">
      <c r="A93" s="67">
        <v>92</v>
      </c>
      <c r="B93" s="68" t="s">
        <v>699</v>
      </c>
      <c r="C93" s="69" t="s">
        <v>785</v>
      </c>
      <c r="D93" s="68" t="s">
        <v>786</v>
      </c>
      <c r="E93" s="69" t="s">
        <v>22</v>
      </c>
      <c r="F93" s="69" t="s">
        <v>787</v>
      </c>
      <c r="G93" s="69" t="s">
        <v>788</v>
      </c>
      <c r="H93" s="67" t="s">
        <v>38</v>
      </c>
      <c r="I93" s="67" t="s">
        <v>51</v>
      </c>
      <c r="J93" s="69"/>
      <c r="K93" s="67">
        <v>8</v>
      </c>
      <c r="L93" s="67">
        <v>55</v>
      </c>
      <c r="M93" s="71" t="s">
        <v>789</v>
      </c>
      <c r="N93" s="71" t="s">
        <v>790</v>
      </c>
      <c r="O93" s="71" t="s">
        <v>479</v>
      </c>
      <c r="P93" s="71" t="s">
        <v>74</v>
      </c>
      <c r="Q93" s="71" t="s">
        <v>791</v>
      </c>
      <c r="R93" s="71" t="s">
        <v>792</v>
      </c>
      <c r="S93" s="71" t="s">
        <v>793</v>
      </c>
    </row>
    <row r="94" s="50" customFormat="1" ht="209" spans="1:19">
      <c r="A94" s="67">
        <v>93</v>
      </c>
      <c r="B94" s="68" t="s">
        <v>699</v>
      </c>
      <c r="C94" s="71" t="s">
        <v>794</v>
      </c>
      <c r="D94" s="68" t="s">
        <v>795</v>
      </c>
      <c r="E94" s="69" t="s">
        <v>276</v>
      </c>
      <c r="F94" s="71" t="s">
        <v>796</v>
      </c>
      <c r="G94" s="71" t="s">
        <v>797</v>
      </c>
      <c r="H94" s="68" t="s">
        <v>38</v>
      </c>
      <c r="I94" s="68" t="s">
        <v>348</v>
      </c>
      <c r="J94" s="71"/>
      <c r="K94" s="68">
        <v>13</v>
      </c>
      <c r="L94" s="67">
        <v>40</v>
      </c>
      <c r="M94" s="71" t="s">
        <v>798</v>
      </c>
      <c r="N94" s="71" t="s">
        <v>72</v>
      </c>
      <c r="O94" s="71" t="s">
        <v>84</v>
      </c>
      <c r="P94" s="71" t="s">
        <v>44</v>
      </c>
      <c r="Q94" s="71" t="s">
        <v>799</v>
      </c>
      <c r="R94" s="71" t="s">
        <v>800</v>
      </c>
      <c r="S94" s="71" t="s">
        <v>801</v>
      </c>
    </row>
    <row r="95" s="50" customFormat="1" ht="190" spans="1:19">
      <c r="A95" s="67">
        <v>94</v>
      </c>
      <c r="B95" s="68" t="s">
        <v>699</v>
      </c>
      <c r="C95" s="80" t="s">
        <v>802</v>
      </c>
      <c r="D95" s="68" t="s">
        <v>803</v>
      </c>
      <c r="E95" s="69" t="s">
        <v>22</v>
      </c>
      <c r="F95" s="71" t="s">
        <v>804</v>
      </c>
      <c r="G95" s="71" t="s">
        <v>805</v>
      </c>
      <c r="H95" s="68" t="s">
        <v>38</v>
      </c>
      <c r="I95" s="89" t="s">
        <v>278</v>
      </c>
      <c r="J95" s="90"/>
      <c r="K95" s="68">
        <v>10</v>
      </c>
      <c r="L95" s="67">
        <v>65</v>
      </c>
      <c r="M95" s="71" t="s">
        <v>806</v>
      </c>
      <c r="N95" s="71" t="s">
        <v>307</v>
      </c>
      <c r="O95" s="71" t="s">
        <v>95</v>
      </c>
      <c r="P95" s="71" t="s">
        <v>74</v>
      </c>
      <c r="Q95" s="71" t="s">
        <v>807</v>
      </c>
      <c r="R95" s="71" t="s">
        <v>808</v>
      </c>
      <c r="S95" s="71" t="s">
        <v>809</v>
      </c>
    </row>
    <row r="96" s="50" customFormat="1" ht="190" spans="1:19">
      <c r="A96" s="67">
        <v>95</v>
      </c>
      <c r="B96" s="68" t="s">
        <v>699</v>
      </c>
      <c r="C96" s="71" t="s">
        <v>810</v>
      </c>
      <c r="D96" s="68" t="s">
        <v>811</v>
      </c>
      <c r="E96" s="69" t="s">
        <v>22</v>
      </c>
      <c r="F96" s="71" t="s">
        <v>812</v>
      </c>
      <c r="G96" s="71" t="s">
        <v>477</v>
      </c>
      <c r="H96" s="68" t="s">
        <v>38</v>
      </c>
      <c r="I96" s="68" t="s">
        <v>182</v>
      </c>
      <c r="J96" s="71"/>
      <c r="K96" s="68">
        <v>12</v>
      </c>
      <c r="L96" s="67">
        <v>30</v>
      </c>
      <c r="M96" s="71" t="s">
        <v>813</v>
      </c>
      <c r="N96" s="71" t="s">
        <v>72</v>
      </c>
      <c r="O96" s="71" t="s">
        <v>84</v>
      </c>
      <c r="P96" s="71" t="s">
        <v>74</v>
      </c>
      <c r="Q96" s="71" t="s">
        <v>814</v>
      </c>
      <c r="R96" s="71" t="s">
        <v>815</v>
      </c>
      <c r="S96" s="71" t="s">
        <v>816</v>
      </c>
    </row>
    <row r="97" ht="190" spans="1:19">
      <c r="A97" s="67">
        <v>96</v>
      </c>
      <c r="B97" s="68" t="s">
        <v>699</v>
      </c>
      <c r="C97" s="69" t="s">
        <v>817</v>
      </c>
      <c r="D97" s="68" t="s">
        <v>818</v>
      </c>
      <c r="E97" s="69" t="s">
        <v>22</v>
      </c>
      <c r="F97" s="69" t="s">
        <v>819</v>
      </c>
      <c r="G97" s="69" t="s">
        <v>703</v>
      </c>
      <c r="H97" s="67" t="s">
        <v>38</v>
      </c>
      <c r="I97" s="67" t="s">
        <v>70</v>
      </c>
      <c r="J97" s="69"/>
      <c r="K97" s="67">
        <v>12</v>
      </c>
      <c r="L97" s="67">
        <v>25</v>
      </c>
      <c r="M97" s="71" t="s">
        <v>820</v>
      </c>
      <c r="N97" s="71" t="s">
        <v>72</v>
      </c>
      <c r="O97" s="71" t="s">
        <v>43</v>
      </c>
      <c r="P97" s="71" t="s">
        <v>44</v>
      </c>
      <c r="Q97" s="71" t="s">
        <v>821</v>
      </c>
      <c r="R97" s="71" t="s">
        <v>822</v>
      </c>
      <c r="S97" s="71" t="s">
        <v>823</v>
      </c>
    </row>
    <row r="98" ht="209" spans="1:19">
      <c r="A98" s="67">
        <v>97</v>
      </c>
      <c r="B98" s="68" t="s">
        <v>699</v>
      </c>
      <c r="C98" s="69" t="s">
        <v>824</v>
      </c>
      <c r="D98" s="68" t="s">
        <v>825</v>
      </c>
      <c r="E98" s="69" t="s">
        <v>22</v>
      </c>
      <c r="F98" s="69" t="s">
        <v>826</v>
      </c>
      <c r="G98" s="69" t="s">
        <v>703</v>
      </c>
      <c r="H98" s="67" t="s">
        <v>38</v>
      </c>
      <c r="I98" s="67" t="s">
        <v>59</v>
      </c>
      <c r="J98" s="69"/>
      <c r="K98" s="67">
        <v>11</v>
      </c>
      <c r="L98" s="67">
        <v>50</v>
      </c>
      <c r="M98" s="71" t="s">
        <v>827</v>
      </c>
      <c r="N98" s="71" t="s">
        <v>72</v>
      </c>
      <c r="O98" s="71" t="s">
        <v>43</v>
      </c>
      <c r="P98" s="71" t="s">
        <v>44</v>
      </c>
      <c r="Q98" s="71" t="s">
        <v>828</v>
      </c>
      <c r="R98" s="71" t="s">
        <v>829</v>
      </c>
      <c r="S98" s="71" t="s">
        <v>830</v>
      </c>
    </row>
    <row r="99" ht="323" spans="1:19">
      <c r="A99" s="67">
        <v>98</v>
      </c>
      <c r="B99" s="68" t="s">
        <v>699</v>
      </c>
      <c r="C99" s="69" t="s">
        <v>831</v>
      </c>
      <c r="D99" s="68" t="s">
        <v>832</v>
      </c>
      <c r="E99" s="69" t="s">
        <v>22</v>
      </c>
      <c r="F99" s="69" t="s">
        <v>833</v>
      </c>
      <c r="G99" s="69" t="s">
        <v>834</v>
      </c>
      <c r="H99" s="67" t="s">
        <v>38</v>
      </c>
      <c r="I99" s="67" t="s">
        <v>70</v>
      </c>
      <c r="J99" s="69"/>
      <c r="K99" s="67">
        <v>14</v>
      </c>
      <c r="L99" s="67">
        <v>60</v>
      </c>
      <c r="M99" s="71" t="s">
        <v>835</v>
      </c>
      <c r="N99" s="71" t="s">
        <v>836</v>
      </c>
      <c r="O99" s="71" t="s">
        <v>43</v>
      </c>
      <c r="P99" s="71" t="s">
        <v>31</v>
      </c>
      <c r="Q99" s="71" t="s">
        <v>837</v>
      </c>
      <c r="R99" s="71" t="s">
        <v>838</v>
      </c>
      <c r="S99" s="71" t="s">
        <v>839</v>
      </c>
    </row>
    <row r="100" ht="190" spans="1:19">
      <c r="A100" s="67">
        <v>99</v>
      </c>
      <c r="B100" s="68" t="s">
        <v>699</v>
      </c>
      <c r="C100" s="69" t="s">
        <v>840</v>
      </c>
      <c r="D100" s="68" t="s">
        <v>841</v>
      </c>
      <c r="E100" s="69" t="s">
        <v>276</v>
      </c>
      <c r="F100" s="69" t="s">
        <v>842</v>
      </c>
      <c r="G100" s="69" t="s">
        <v>843</v>
      </c>
      <c r="H100" s="67" t="s">
        <v>38</v>
      </c>
      <c r="I100" s="76" t="s">
        <v>26</v>
      </c>
      <c r="J100" s="77"/>
      <c r="K100" s="67">
        <v>13</v>
      </c>
      <c r="L100" s="67">
        <v>60</v>
      </c>
      <c r="M100" s="71" t="s">
        <v>844</v>
      </c>
      <c r="N100" s="71" t="s">
        <v>72</v>
      </c>
      <c r="O100" s="71" t="s">
        <v>714</v>
      </c>
      <c r="P100" s="71" t="s">
        <v>31</v>
      </c>
      <c r="Q100" s="71" t="s">
        <v>845</v>
      </c>
      <c r="R100" s="71" t="s">
        <v>846</v>
      </c>
      <c r="S100" s="71" t="s">
        <v>847</v>
      </c>
    </row>
    <row r="101" ht="190" spans="1:19">
      <c r="A101" s="67">
        <v>100</v>
      </c>
      <c r="B101" s="68" t="s">
        <v>699</v>
      </c>
      <c r="C101" s="69" t="s">
        <v>848</v>
      </c>
      <c r="D101" s="68" t="s">
        <v>849</v>
      </c>
      <c r="E101" s="69" t="s">
        <v>276</v>
      </c>
      <c r="F101" s="69" t="s">
        <v>850</v>
      </c>
      <c r="G101" s="69" t="s">
        <v>851</v>
      </c>
      <c r="H101" s="67" t="s">
        <v>38</v>
      </c>
      <c r="I101" s="67" t="s">
        <v>348</v>
      </c>
      <c r="J101" s="69"/>
      <c r="K101" s="67">
        <v>14</v>
      </c>
      <c r="L101" s="67">
        <v>55</v>
      </c>
      <c r="M101" s="71" t="s">
        <v>852</v>
      </c>
      <c r="N101" s="71" t="s">
        <v>72</v>
      </c>
      <c r="O101" s="71" t="s">
        <v>714</v>
      </c>
      <c r="P101" s="71" t="s">
        <v>74</v>
      </c>
      <c r="Q101" s="71" t="s">
        <v>853</v>
      </c>
      <c r="R101" s="71" t="s">
        <v>854</v>
      </c>
      <c r="S101" s="71" t="s">
        <v>855</v>
      </c>
    </row>
    <row r="102" s="50" customFormat="1" ht="209" spans="1:19">
      <c r="A102" s="67">
        <v>101</v>
      </c>
      <c r="B102" s="68" t="s">
        <v>699</v>
      </c>
      <c r="C102" s="80" t="s">
        <v>856</v>
      </c>
      <c r="D102" s="68" t="s">
        <v>857</v>
      </c>
      <c r="E102" s="69" t="s">
        <v>22</v>
      </c>
      <c r="F102" s="71" t="s">
        <v>858</v>
      </c>
      <c r="G102" s="71" t="s">
        <v>859</v>
      </c>
      <c r="H102" s="68" t="s">
        <v>38</v>
      </c>
      <c r="I102" s="68" t="s">
        <v>39</v>
      </c>
      <c r="J102" s="71"/>
      <c r="K102" s="68">
        <v>8</v>
      </c>
      <c r="L102" s="67">
        <v>40</v>
      </c>
      <c r="M102" s="71" t="s">
        <v>860</v>
      </c>
      <c r="N102" s="71" t="s">
        <v>72</v>
      </c>
      <c r="O102" s="71" t="s">
        <v>861</v>
      </c>
      <c r="P102" s="71" t="s">
        <v>74</v>
      </c>
      <c r="Q102" s="71" t="s">
        <v>862</v>
      </c>
      <c r="R102" s="71" t="s">
        <v>863</v>
      </c>
      <c r="S102" s="71" t="s">
        <v>864</v>
      </c>
    </row>
    <row r="103" ht="190" spans="1:19">
      <c r="A103" s="67">
        <v>102</v>
      </c>
      <c r="B103" s="68" t="s">
        <v>699</v>
      </c>
      <c r="C103" s="69" t="s">
        <v>865</v>
      </c>
      <c r="D103" s="68" t="s">
        <v>866</v>
      </c>
      <c r="E103" s="69" t="s">
        <v>22</v>
      </c>
      <c r="F103" s="69" t="s">
        <v>867</v>
      </c>
      <c r="G103" s="69" t="s">
        <v>868</v>
      </c>
      <c r="H103" s="67" t="s">
        <v>38</v>
      </c>
      <c r="I103" s="67" t="s">
        <v>182</v>
      </c>
      <c r="J103" s="69"/>
      <c r="K103" s="67">
        <v>8</v>
      </c>
      <c r="L103" s="67">
        <v>30</v>
      </c>
      <c r="M103" s="71" t="s">
        <v>869</v>
      </c>
      <c r="N103" s="71" t="s">
        <v>72</v>
      </c>
      <c r="O103" s="71" t="s">
        <v>654</v>
      </c>
      <c r="P103" s="71" t="s">
        <v>31</v>
      </c>
      <c r="Q103" s="71" t="s">
        <v>870</v>
      </c>
      <c r="R103" s="71" t="s">
        <v>871</v>
      </c>
      <c r="S103" s="71" t="s">
        <v>872</v>
      </c>
    </row>
    <row r="104" ht="190" spans="1:19">
      <c r="A104" s="67">
        <v>103</v>
      </c>
      <c r="B104" s="68" t="s">
        <v>699</v>
      </c>
      <c r="C104" s="69" t="s">
        <v>873</v>
      </c>
      <c r="D104" s="68" t="s">
        <v>874</v>
      </c>
      <c r="E104" s="69" t="s">
        <v>22</v>
      </c>
      <c r="F104" s="69" t="s">
        <v>875</v>
      </c>
      <c r="G104" s="69" t="s">
        <v>876</v>
      </c>
      <c r="H104" s="67" t="s">
        <v>38</v>
      </c>
      <c r="I104" s="67" t="s">
        <v>51</v>
      </c>
      <c r="J104" s="69"/>
      <c r="K104" s="67">
        <v>11</v>
      </c>
      <c r="L104" s="67">
        <v>60</v>
      </c>
      <c r="M104" s="71" t="s">
        <v>877</v>
      </c>
      <c r="N104" s="71" t="s">
        <v>209</v>
      </c>
      <c r="O104" s="71" t="s">
        <v>84</v>
      </c>
      <c r="P104" s="71" t="s">
        <v>44</v>
      </c>
      <c r="Q104" s="71" t="s">
        <v>878</v>
      </c>
      <c r="R104" s="71" t="s">
        <v>879</v>
      </c>
      <c r="S104" s="71" t="s">
        <v>880</v>
      </c>
    </row>
    <row r="105" ht="190" spans="1:19">
      <c r="A105" s="67">
        <v>104</v>
      </c>
      <c r="B105" s="68" t="s">
        <v>699</v>
      </c>
      <c r="C105" s="69" t="s">
        <v>881</v>
      </c>
      <c r="D105" s="68" t="s">
        <v>882</v>
      </c>
      <c r="E105" s="69" t="s">
        <v>22</v>
      </c>
      <c r="F105" s="69" t="s">
        <v>883</v>
      </c>
      <c r="G105" s="69" t="s">
        <v>884</v>
      </c>
      <c r="H105" s="67" t="s">
        <v>38</v>
      </c>
      <c r="I105" s="67" t="s">
        <v>348</v>
      </c>
      <c r="J105" s="69"/>
      <c r="K105" s="67">
        <v>13</v>
      </c>
      <c r="L105" s="67">
        <v>25</v>
      </c>
      <c r="M105" s="71" t="s">
        <v>885</v>
      </c>
      <c r="N105" s="71" t="s">
        <v>298</v>
      </c>
      <c r="O105" s="71" t="s">
        <v>578</v>
      </c>
      <c r="P105" s="71" t="s">
        <v>74</v>
      </c>
      <c r="Q105" s="71" t="s">
        <v>886</v>
      </c>
      <c r="R105" s="71" t="s">
        <v>887</v>
      </c>
      <c r="S105" s="71" t="s">
        <v>888</v>
      </c>
    </row>
    <row r="106" ht="190" spans="1:19">
      <c r="A106" s="67">
        <v>105</v>
      </c>
      <c r="B106" s="68" t="s">
        <v>699</v>
      </c>
      <c r="C106" s="69" t="s">
        <v>889</v>
      </c>
      <c r="D106" s="68" t="s">
        <v>890</v>
      </c>
      <c r="E106" s="69" t="s">
        <v>22</v>
      </c>
      <c r="F106" s="69" t="s">
        <v>891</v>
      </c>
      <c r="G106" s="69" t="s">
        <v>892</v>
      </c>
      <c r="H106" s="67" t="s">
        <v>38</v>
      </c>
      <c r="I106" s="67" t="s">
        <v>182</v>
      </c>
      <c r="J106" s="69"/>
      <c r="K106" s="67">
        <v>8</v>
      </c>
      <c r="L106" s="67">
        <v>30</v>
      </c>
      <c r="M106" s="71" t="s">
        <v>893</v>
      </c>
      <c r="N106" s="71" t="s">
        <v>72</v>
      </c>
      <c r="O106" s="71" t="s">
        <v>654</v>
      </c>
      <c r="P106" s="71" t="s">
        <v>74</v>
      </c>
      <c r="Q106" s="71" t="s">
        <v>894</v>
      </c>
      <c r="R106" s="71" t="s">
        <v>895</v>
      </c>
      <c r="S106" s="71" t="s">
        <v>896</v>
      </c>
    </row>
    <row r="107" ht="171" spans="1:19">
      <c r="A107" s="67">
        <v>106</v>
      </c>
      <c r="B107" s="68" t="s">
        <v>699</v>
      </c>
      <c r="C107" s="69" t="s">
        <v>897</v>
      </c>
      <c r="D107" s="68" t="s">
        <v>898</v>
      </c>
      <c r="E107" s="69" t="s">
        <v>22</v>
      </c>
      <c r="F107" s="69" t="s">
        <v>899</v>
      </c>
      <c r="G107" s="69" t="s">
        <v>900</v>
      </c>
      <c r="H107" s="67" t="s">
        <v>25</v>
      </c>
      <c r="I107" s="67" t="s">
        <v>182</v>
      </c>
      <c r="J107" s="69"/>
      <c r="K107" s="67">
        <v>8</v>
      </c>
      <c r="L107" s="67">
        <v>25</v>
      </c>
      <c r="M107" s="71" t="s">
        <v>901</v>
      </c>
      <c r="N107" s="71" t="s">
        <v>298</v>
      </c>
      <c r="O107" s="71" t="s">
        <v>84</v>
      </c>
      <c r="P107" s="71" t="s">
        <v>44</v>
      </c>
      <c r="Q107" s="71" t="s">
        <v>902</v>
      </c>
      <c r="R107" s="71" t="s">
        <v>903</v>
      </c>
      <c r="S107" s="71" t="s">
        <v>904</v>
      </c>
    </row>
    <row r="108" ht="190" spans="1:19">
      <c r="A108" s="67">
        <v>107</v>
      </c>
      <c r="B108" s="68" t="s">
        <v>699</v>
      </c>
      <c r="C108" s="69" t="s">
        <v>905</v>
      </c>
      <c r="D108" s="68" t="s">
        <v>906</v>
      </c>
      <c r="E108" s="69" t="s">
        <v>22</v>
      </c>
      <c r="F108" s="69" t="s">
        <v>907</v>
      </c>
      <c r="G108" s="69" t="s">
        <v>908</v>
      </c>
      <c r="H108" s="67" t="s">
        <v>25</v>
      </c>
      <c r="I108" s="67" t="s">
        <v>81</v>
      </c>
      <c r="J108" s="69"/>
      <c r="K108" s="67">
        <v>8</v>
      </c>
      <c r="L108" s="67">
        <v>30</v>
      </c>
      <c r="M108" s="71" t="s">
        <v>909</v>
      </c>
      <c r="N108" s="71" t="s">
        <v>910</v>
      </c>
      <c r="O108" s="71" t="s">
        <v>84</v>
      </c>
      <c r="P108" s="71" t="s">
        <v>44</v>
      </c>
      <c r="Q108" s="71" t="s">
        <v>911</v>
      </c>
      <c r="R108" s="71" t="s">
        <v>912</v>
      </c>
      <c r="S108" s="71" t="s">
        <v>913</v>
      </c>
    </row>
    <row r="109" s="50" customFormat="1" ht="209" spans="1:19">
      <c r="A109" s="67">
        <v>108</v>
      </c>
      <c r="B109" s="68" t="s">
        <v>699</v>
      </c>
      <c r="C109" s="80" t="s">
        <v>914</v>
      </c>
      <c r="D109" s="68" t="s">
        <v>915</v>
      </c>
      <c r="E109" s="69" t="s">
        <v>22</v>
      </c>
      <c r="F109" s="71" t="s">
        <v>916</v>
      </c>
      <c r="G109" s="71" t="s">
        <v>917</v>
      </c>
      <c r="H109" s="68" t="s">
        <v>25</v>
      </c>
      <c r="I109" s="89" t="s">
        <v>26</v>
      </c>
      <c r="J109" s="90"/>
      <c r="K109" s="68">
        <v>10</v>
      </c>
      <c r="L109" s="67">
        <v>55</v>
      </c>
      <c r="M109" s="71" t="s">
        <v>918</v>
      </c>
      <c r="N109" s="71" t="s">
        <v>72</v>
      </c>
      <c r="O109" s="71" t="s">
        <v>43</v>
      </c>
      <c r="P109" s="71" t="s">
        <v>31</v>
      </c>
      <c r="Q109" s="71" t="s">
        <v>919</v>
      </c>
      <c r="R109" s="71" t="s">
        <v>920</v>
      </c>
      <c r="S109" s="71" t="s">
        <v>921</v>
      </c>
    </row>
    <row r="110" s="50" customFormat="1" ht="190" spans="1:19">
      <c r="A110" s="67">
        <v>109</v>
      </c>
      <c r="B110" s="68" t="s">
        <v>699</v>
      </c>
      <c r="C110" s="80" t="s">
        <v>922</v>
      </c>
      <c r="D110" s="68" t="s">
        <v>923</v>
      </c>
      <c r="E110" s="69" t="s">
        <v>22</v>
      </c>
      <c r="F110" s="71" t="s">
        <v>924</v>
      </c>
      <c r="G110" s="71" t="s">
        <v>917</v>
      </c>
      <c r="H110" s="68" t="s">
        <v>38</v>
      </c>
      <c r="I110" s="89" t="s">
        <v>26</v>
      </c>
      <c r="J110" s="90"/>
      <c r="K110" s="68">
        <v>11</v>
      </c>
      <c r="L110" s="67">
        <v>40</v>
      </c>
      <c r="M110" s="71" t="s">
        <v>925</v>
      </c>
      <c r="N110" s="71" t="s">
        <v>926</v>
      </c>
      <c r="O110" s="71" t="s">
        <v>43</v>
      </c>
      <c r="P110" s="71" t="s">
        <v>44</v>
      </c>
      <c r="Q110" s="71" t="s">
        <v>927</v>
      </c>
      <c r="R110" s="71" t="s">
        <v>928</v>
      </c>
      <c r="S110" s="71" t="s">
        <v>929</v>
      </c>
    </row>
    <row r="111" ht="190" spans="1:19">
      <c r="A111" s="67">
        <v>110</v>
      </c>
      <c r="B111" s="68" t="s">
        <v>699</v>
      </c>
      <c r="C111" s="80" t="s">
        <v>930</v>
      </c>
      <c r="D111" s="68" t="s">
        <v>931</v>
      </c>
      <c r="E111" s="69" t="s">
        <v>22</v>
      </c>
      <c r="F111" s="69" t="s">
        <v>932</v>
      </c>
      <c r="G111" s="69" t="s">
        <v>917</v>
      </c>
      <c r="H111" s="67" t="s">
        <v>38</v>
      </c>
      <c r="I111" s="76" t="s">
        <v>278</v>
      </c>
      <c r="J111" s="77"/>
      <c r="K111" s="67">
        <v>8</v>
      </c>
      <c r="L111" s="67">
        <v>30</v>
      </c>
      <c r="M111" s="71" t="s">
        <v>933</v>
      </c>
      <c r="N111" s="71" t="s">
        <v>934</v>
      </c>
      <c r="O111" s="71" t="s">
        <v>200</v>
      </c>
      <c r="P111" s="71" t="s">
        <v>74</v>
      </c>
      <c r="Q111" s="71" t="s">
        <v>935</v>
      </c>
      <c r="R111" s="71" t="s">
        <v>936</v>
      </c>
      <c r="S111" s="71" t="s">
        <v>937</v>
      </c>
    </row>
    <row r="112" ht="190" spans="1:19">
      <c r="A112" s="67">
        <v>111</v>
      </c>
      <c r="B112" s="68" t="s">
        <v>699</v>
      </c>
      <c r="C112" s="69" t="s">
        <v>938</v>
      </c>
      <c r="D112" s="68" t="s">
        <v>939</v>
      </c>
      <c r="E112" s="69" t="s">
        <v>22</v>
      </c>
      <c r="F112" s="69" t="s">
        <v>940</v>
      </c>
      <c r="G112" s="69" t="s">
        <v>941</v>
      </c>
      <c r="H112" s="67" t="s">
        <v>25</v>
      </c>
      <c r="I112" s="67" t="s">
        <v>51</v>
      </c>
      <c r="J112" s="69"/>
      <c r="K112" s="67">
        <v>8</v>
      </c>
      <c r="L112" s="67">
        <v>35</v>
      </c>
      <c r="M112" s="71" t="s">
        <v>942</v>
      </c>
      <c r="N112" s="71" t="s">
        <v>72</v>
      </c>
      <c r="O112" s="71" t="s">
        <v>84</v>
      </c>
      <c r="P112" s="71" t="s">
        <v>44</v>
      </c>
      <c r="Q112" s="71" t="s">
        <v>943</v>
      </c>
      <c r="R112" s="71" t="s">
        <v>944</v>
      </c>
      <c r="S112" s="71" t="s">
        <v>945</v>
      </c>
    </row>
    <row r="113" ht="209" spans="1:19">
      <c r="A113" s="67">
        <v>112</v>
      </c>
      <c r="B113" s="68" t="s">
        <v>699</v>
      </c>
      <c r="C113" s="69" t="s">
        <v>946</v>
      </c>
      <c r="D113" s="68" t="s">
        <v>947</v>
      </c>
      <c r="E113" s="69" t="s">
        <v>22</v>
      </c>
      <c r="F113" s="69" t="s">
        <v>948</v>
      </c>
      <c r="G113" s="69" t="s">
        <v>949</v>
      </c>
      <c r="H113" s="67" t="s">
        <v>38</v>
      </c>
      <c r="I113" s="67" t="s">
        <v>348</v>
      </c>
      <c r="J113" s="69"/>
      <c r="K113" s="67">
        <v>13</v>
      </c>
      <c r="L113" s="67">
        <v>25</v>
      </c>
      <c r="M113" s="71" t="s">
        <v>950</v>
      </c>
      <c r="N113" s="71" t="s">
        <v>951</v>
      </c>
      <c r="O113" s="71" t="s">
        <v>84</v>
      </c>
      <c r="P113" s="71" t="s">
        <v>31</v>
      </c>
      <c r="Q113" s="71" t="s">
        <v>952</v>
      </c>
      <c r="R113" s="71" t="s">
        <v>953</v>
      </c>
      <c r="S113" s="71" t="s">
        <v>954</v>
      </c>
    </row>
    <row r="114" s="50" customFormat="1" ht="247" spans="1:19">
      <c r="A114" s="67">
        <v>113</v>
      </c>
      <c r="B114" s="68" t="s">
        <v>699</v>
      </c>
      <c r="C114" s="71" t="s">
        <v>955</v>
      </c>
      <c r="D114" s="85" t="s">
        <v>956</v>
      </c>
      <c r="E114" s="69" t="s">
        <v>22</v>
      </c>
      <c r="F114" s="71" t="s">
        <v>957</v>
      </c>
      <c r="G114" s="71" t="s">
        <v>788</v>
      </c>
      <c r="H114" s="68" t="s">
        <v>38</v>
      </c>
      <c r="I114" s="68" t="s">
        <v>26</v>
      </c>
      <c r="J114" s="71"/>
      <c r="K114" s="68">
        <v>9</v>
      </c>
      <c r="L114" s="67">
        <v>90</v>
      </c>
      <c r="M114" s="71" t="s">
        <v>958</v>
      </c>
      <c r="N114" s="71" t="s">
        <v>790</v>
      </c>
      <c r="O114" s="71" t="s">
        <v>959</v>
      </c>
      <c r="P114" s="71"/>
      <c r="Q114" s="71" t="s">
        <v>960</v>
      </c>
      <c r="R114" s="71" t="s">
        <v>961</v>
      </c>
      <c r="S114" s="71" t="s">
        <v>962</v>
      </c>
    </row>
    <row r="115" ht="247" spans="1:19">
      <c r="A115" s="67">
        <v>114</v>
      </c>
      <c r="B115" s="68" t="s">
        <v>699</v>
      </c>
      <c r="C115" s="77" t="s">
        <v>963</v>
      </c>
      <c r="D115" s="68" t="s">
        <v>964</v>
      </c>
      <c r="E115" s="69" t="s">
        <v>22</v>
      </c>
      <c r="F115" s="69" t="s">
        <v>965</v>
      </c>
      <c r="G115" s="69" t="s">
        <v>966</v>
      </c>
      <c r="H115" s="67" t="s">
        <v>25</v>
      </c>
      <c r="I115" s="67" t="s">
        <v>51</v>
      </c>
      <c r="J115" s="69"/>
      <c r="K115" s="91">
        <v>5</v>
      </c>
      <c r="L115" s="67">
        <v>20</v>
      </c>
      <c r="M115" s="71" t="s">
        <v>967</v>
      </c>
      <c r="N115" s="71" t="s">
        <v>968</v>
      </c>
      <c r="O115" s="71" t="s">
        <v>969</v>
      </c>
      <c r="P115" s="71" t="s">
        <v>970</v>
      </c>
      <c r="Q115" s="71" t="s">
        <v>971</v>
      </c>
      <c r="R115" s="71" t="s">
        <v>972</v>
      </c>
      <c r="S115" s="71" t="s">
        <v>973</v>
      </c>
    </row>
    <row r="116" s="50" customFormat="1" ht="209" spans="1:19">
      <c r="A116" s="67">
        <v>115</v>
      </c>
      <c r="B116" s="68" t="s">
        <v>699</v>
      </c>
      <c r="C116" s="84" t="s">
        <v>974</v>
      </c>
      <c r="D116" s="85" t="s">
        <v>975</v>
      </c>
      <c r="E116" s="69" t="s">
        <v>22</v>
      </c>
      <c r="F116" s="71" t="s">
        <v>976</v>
      </c>
      <c r="G116" s="71" t="s">
        <v>296</v>
      </c>
      <c r="H116" s="68" t="s">
        <v>38</v>
      </c>
      <c r="I116" s="68" t="s">
        <v>51</v>
      </c>
      <c r="J116" s="71"/>
      <c r="K116" s="85">
        <v>12</v>
      </c>
      <c r="L116" s="67">
        <v>110</v>
      </c>
      <c r="M116" s="71" t="s">
        <v>977</v>
      </c>
      <c r="N116" s="71" t="s">
        <v>978</v>
      </c>
      <c r="O116" s="71" t="s">
        <v>979</v>
      </c>
      <c r="P116" s="71" t="s">
        <v>31</v>
      </c>
      <c r="Q116" s="71" t="s">
        <v>980</v>
      </c>
      <c r="R116" s="71" t="s">
        <v>981</v>
      </c>
      <c r="S116" s="71" t="s">
        <v>982</v>
      </c>
    </row>
    <row r="117" s="56" customFormat="1" ht="266" spans="1:19">
      <c r="A117" s="67">
        <v>116</v>
      </c>
      <c r="B117" s="92" t="s">
        <v>699</v>
      </c>
      <c r="C117" s="78" t="s">
        <v>983</v>
      </c>
      <c r="D117" s="93" t="s">
        <v>984</v>
      </c>
      <c r="E117" s="69" t="s">
        <v>22</v>
      </c>
      <c r="F117" s="78" t="s">
        <v>985</v>
      </c>
      <c r="G117" s="78" t="s">
        <v>986</v>
      </c>
      <c r="H117" s="92" t="s">
        <v>38</v>
      </c>
      <c r="I117" s="92" t="s">
        <v>39</v>
      </c>
      <c r="J117" s="78"/>
      <c r="K117" s="93">
        <v>8</v>
      </c>
      <c r="L117" s="67">
        <v>20</v>
      </c>
      <c r="M117" s="78" t="s">
        <v>987</v>
      </c>
      <c r="N117" s="78" t="s">
        <v>836</v>
      </c>
      <c r="O117" s="78" t="s">
        <v>988</v>
      </c>
      <c r="P117" s="78" t="s">
        <v>31</v>
      </c>
      <c r="Q117" s="78" t="s">
        <v>989</v>
      </c>
      <c r="R117" s="78" t="s">
        <v>990</v>
      </c>
      <c r="S117" s="78" t="s">
        <v>991</v>
      </c>
    </row>
    <row r="118" s="52" customFormat="1" ht="209" spans="1:19">
      <c r="A118" s="67">
        <v>117</v>
      </c>
      <c r="B118" s="86" t="s">
        <v>699</v>
      </c>
      <c r="C118" s="80" t="s">
        <v>992</v>
      </c>
      <c r="D118" s="87" t="s">
        <v>993</v>
      </c>
      <c r="E118" s="69" t="s">
        <v>22</v>
      </c>
      <c r="F118" s="80" t="s">
        <v>994</v>
      </c>
      <c r="G118" s="80" t="s">
        <v>721</v>
      </c>
      <c r="H118" s="86" t="s">
        <v>25</v>
      </c>
      <c r="I118" s="86" t="s">
        <v>51</v>
      </c>
      <c r="J118" s="80"/>
      <c r="K118" s="87">
        <v>4</v>
      </c>
      <c r="L118" s="67">
        <v>20</v>
      </c>
      <c r="M118" s="80" t="s">
        <v>995</v>
      </c>
      <c r="N118" s="80" t="s">
        <v>996</v>
      </c>
      <c r="O118" s="80" t="s">
        <v>686</v>
      </c>
      <c r="P118" s="80" t="s">
        <v>453</v>
      </c>
      <c r="Q118" s="80" t="s">
        <v>997</v>
      </c>
      <c r="R118" s="80" t="s">
        <v>998</v>
      </c>
      <c r="S118" s="80" t="s">
        <v>999</v>
      </c>
    </row>
    <row r="119" s="52" customFormat="1" ht="228" spans="1:19">
      <c r="A119" s="67">
        <v>118</v>
      </c>
      <c r="B119" s="86" t="s">
        <v>699</v>
      </c>
      <c r="C119" s="80" t="s">
        <v>1000</v>
      </c>
      <c r="D119" s="87" t="s">
        <v>1001</v>
      </c>
      <c r="E119" s="69" t="s">
        <v>22</v>
      </c>
      <c r="F119" s="80" t="s">
        <v>1002</v>
      </c>
      <c r="G119" s="80" t="s">
        <v>892</v>
      </c>
      <c r="H119" s="86" t="s">
        <v>25</v>
      </c>
      <c r="I119" s="86" t="s">
        <v>92</v>
      </c>
      <c r="J119" s="80"/>
      <c r="K119" s="87">
        <v>4</v>
      </c>
      <c r="L119" s="67">
        <v>35</v>
      </c>
      <c r="M119" s="80" t="s">
        <v>1003</v>
      </c>
      <c r="N119" s="80" t="s">
        <v>1004</v>
      </c>
      <c r="O119" s="80" t="s">
        <v>1005</v>
      </c>
      <c r="P119" s="80" t="s">
        <v>453</v>
      </c>
      <c r="Q119" s="80" t="s">
        <v>1006</v>
      </c>
      <c r="R119" s="80" t="s">
        <v>1007</v>
      </c>
      <c r="S119" s="80" t="s">
        <v>1008</v>
      </c>
    </row>
  </sheetData>
  <autoFilter xmlns:etc="http://www.wps.cn/officeDocument/2017/etCustomData" ref="B1:R119" etc:filterBottomFollowUsedRange="0">
    <extLst/>
  </autoFilter>
  <hyperlinks>
    <hyperlink ref="S2" r:id="rId3" display="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 tooltip="https://www.shushangyun.com/article-23157.html"/>
    <hyperlink ref="S3" r:id="rId4" display="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 tooltip="https://gmdhsoftware.com/zh/how-streamline-optimized-inventory-management-for-pharmaceutical-retail-chain/"/>
    <hyperlink ref="S4" r:id="rId5" display="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 tooltip="https://www.yiqigou.com/"/>
    <hyperlink ref="S5" r:id="rId6" display="国药控股应用了RiskRaider风险雷达。该系统能够对合作流通企业进行即时风险扫描与动态监测。实现了渠道准入门槛的提高，并显著提升了风险反应速度和应对能力。（信息来源：https://riskraider.com/case/guoyao.html）" tooltip="https://riskraider.com/case/guoyao.html"/>
    <hyperlink ref="S6" r:id="rId7" display="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 tooltip="https://m.thepaper.cn/baijiahao_31510254"/>
    <hyperlink ref="S7" r:id="rId8" display="某医药企业应用了伙伴云医药采购管理软件。该系统能够自动抓取GSP认证供应商报价。实现了一键生成价格-账期-质量三维度对比表，提升了采购决策效率。（信息来源：https://www.huoban.com/yx-jiaocheng/5lZADmm0Vvl4AYQE.html）" tooltip="https://www.huoban.com/yx-jiaocheng/5lZADmm0Vvl4AYQE.html"/>
    <hyperlink ref="S8" r:id="rId9" display="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 tooltip="https://www.ding.cn/center/664141.html"/>
    <hyperlink ref="S9" r:id="rId10" display="九州通应用了九州云仓系统。该系统能够通过实时数据监控与智能补货算法整合全国物流资源并预测需求。实现了药品周转率提升40%，库存周期缩短30%。（信息来源：http://www.dxh.gov.cn/XWZX/LKGYW/202011/t20201104_1491531.shtml）" tooltip="http://www.dxh.gov.cn/XWZX/LKGYW/202011/t20201104_1491531.shtml"/>
    <hyperlink ref="S10" r:id="rId11" display="某省级医药采购平台应用了数商云提供的智能合同与区块链存证系统。该系统能够通过数据穿透和节点管控实现全流程可追溯。实现了合同履约透明度提升至100%，追溯效率提升500%。（信息来源：https://www.shushangyun.com/article-4588.html）" tooltip="https://www.shushangyun.com/article-4588.html"/>
    <hyperlink ref="S11" r:id="rId12" display="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10;九州通应用了数据要素产品“数药通”。该产品能够通过统一数据标准优化首营业务流程。实现了首营业务办理时间从30天缩短至3天，协作效率提升10倍。（信息来源：https://www.hanyang.gov.cn/xwdt_38/hyyw/202410/t20241015_2468768.shtml）" tooltip="https://software.it168.com/a2025/0218/6877/000006877724.shtml"/>
    <hyperlink ref="S13" r:id="rId13" display="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 tooltip="https://bbs.huaweicloud.com/blogs/446528"/>
    <hyperlink ref="S14" r:id="rId14" display="某制造企业应用了数商云搭建的智能采购系统。该系统能够结合历史消耗数据、季节性需求及库存状态自动生成采购建议。实现了库存周转率的有效提升。（信息来源：https://www.163.com/dy/article/JSMUVDMS0518TA2V.html）" tooltip="https://www.163.com/dy/article/KACA2KBC0531W0RG.html"/>
    <hyperlink ref="S15" r:id="rId15" display="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 tooltip="https://www.163.com/dy/article/JSMUVDMS0518TA2V.html"/>
    <hyperlink ref="S16" r:id="rId16" display="国家医保局应用了药品智能比价系统。该系统能够通过价格异常预警模型和量价比较指数监测药品定价。在试点地区已识别异常药品定价行为4.3万次，整改完成率达91%。（信息来源：https://www.chinabgao.com/info/1288588.html）" tooltip="https://hupun.com/articles/FjHoFvmI.html"/>
    <hyperlink ref="S17" r:id="rId17" display="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 tooltip="https://www.shushangyun.com/article-22413.html"/>
    <hyperlink ref="S18" r:id="rId18" display="医企购平台应用了智能预测系统。该系统能够融合区域疾病趋势、医保政策等上百维数据进行销售预测。帮助合作药店库存周转效率提升30%，并在流感季提前精准备货以避免缺货。（信息来源：https://ctdsb.net/c1734_202507/2494795.html）" tooltip="https://finance.sina.com.cn/tech/roll/2025-07-15/doc-inffpwts2069872.shtml"/>
    <hyperlink ref="S19" r:id="rId19" display="某中药企业应用了数商云开发的合规自查系统。该系统能够自动比对GSP条款与企业操作记录并标记高风险环节（如温湿度记录缺失）。实现了人工复核效率的有效提升。（信息来源：https://zhuanlan.zhihu.com/p/1910652605081842142）" tooltip="https://ctdsb.net/c1734_202507/2494795.html"/>
    <hyperlink ref="S20" r:id="rId20" display="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 tooltip="https://zhuanlan.zhihu.com/p/1910652605081842142"/>
    <hyperlink ref="S21" r:id="rId21" display="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 tooltip="https://www.huoban.com/blogs/3ngJ977OylybowZP.html"/>
    <hyperlink ref="S22" r:id="rId22" display="内蒙古医药采购管理系统应用了数据分析看板。该看板能够提供采购成本分析、供应商绩效评估等20+种报表模型。助力217家医疗机构平均降低采购管理成本28%。（信息来源：https://www.huoban.com/blogs/3ngJ977OylybowZP.html）" tooltip="https://www.nmpaic.org.cn/yjzhjgdt/202505/t20250520_427753.html"/>
    <hyperlink ref="S23" r:id="rId21" display="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10;九州通应用了基于RAG、知识图谱技术的药九九AI“虚拟客服”。该客服能够提升客服响应效率并缓解人工压力。每年节省448万元坐席费用，客服坐席跨系统操作效率提升30%。（信息来源：http://m.toutiao.com/group/7537152861893968434/）" tooltip="https://www.huoban.com/blogs/3ngJ977OylybowZP.html"/>
    <hyperlink ref="S26" r:id="rId23" display="九州通应用了效期管理系统。该系统能够通过智能预警管理药品效期。实现了减少近效期损失60%，库存周转提升18%。&#10;&#10;华东医药应用了智能效期处置平台。该平台能够自动化处置近效期药品。实现了自动化处置率达90%，人工成本下降45%。" tooltip="https://www.prnasia.com/story/491095-1.shtml"/>
    <hyperlink ref="S24" r:id="rId24" display="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 tooltip="http://m.toutiao.com/group/7537152861893968434/"/>
    <hyperlink ref="S34" r:id="rId25" display="有人物联网应用了物联网控制器与工业级传感器网络。该系统能够通过边缘计算与区块链存证实现全程温湿度秒级报警。实现了药品货损率平均下降90%，人工巡检效率提升70%。（信息来源：https://www.usr.cn/News/3331.html）&#10;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 tooltip="http://szb.eyesnews.cn/pc/cont/202506/12/content_154236.html"/>
    <hyperlink ref="S35" r:id="rId25" display="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 tooltip="http://szb.eyesnews.cn/pc/cont/202506/12/content_154236.html"/>
    <hyperlink ref="S36" r:id="rId26" display="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10;九州通应用了九州云仓系统。该系统能够利用AI算法与历史配送数据建模，优化全国物流网络中的配送路径。实现了车辆空驶里程显著缩减，有效降低了物流成本。（信息来源：https://www.dxh.gov.cn/XWZX/MTBD/202001/t20200108_689407.shtml）" tooltip="https://developer.aliyun.com/article/1668490"/>
    <hyperlink ref="S37" r:id="rId27" display="宝佳智能应用了基于视觉的并联机器人及高速码垛机器人。该系统能够通过智能算法实现食品的智能分拣与装箱。实现了减少一线人员70%以上，生产节拍提升至280包/分钟。（信息来源：http://gxj.qingdao.gov.cn/gzxx/202301/t20230113_6603128.shtml）" tooltip="http://gxj.qingdao.gov.cn/gzxx/202301/t20230113_6603128.shtml"/>
    <hyperlink ref="S38" r:id="rId28" display="九州通广东立体库应用了百奥除湿机。该设备能够通过AI算法动态调节库内湿度。实现了将湿度稳定控制在60%RH以下，有效保障了冷链药品的存储质量。（信息来源：https://price.zol.com.cn/848/8484696.html）" tooltip="https://price.zol.com.cn/848/8484696.html"/>
    <hyperlink ref="S39" r:id="rId29" display="中盈医药集团应用了菜鸟无人车配送车队。该系统能够实现药品的自动化、智能化配送。实现了配送成本降低50%，配送效率提升70%，并将服务升级为“一日三配”及一小时紧急配送。（信息来源：https://tech.cnr.cn/techgd/20250722/t20250722_527277045.html）" tooltip="https://tech.cnr.cn/techgd/20250722/t20250722_527277045.html"/>
    <hyperlink ref="S40" r:id="rId30" display="某连锁药店应用了智能车辆管理系统。该系统能够通过物联网与AI算法进行订单智能匹配与路径动态优化。实现了降低30%配送成本，车辆利用率提升85%。（信息来源：https://www.huoban.com/yx-jiaocheng/W7gGDRRnqor30e26.html）" tooltip="https://www.huoban.com/yx-jiaocheng/W7gGDRRnqor30e26.html"/>
    <hyperlink ref="S41" r:id="rId25" display="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10;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 tooltip="http://szb.eyesnews.cn/pc/cont/202506/12/content_154236.html"/>
    <hyperlink ref="S42" r:id="rId31" display="重庆军卫医药应用了TMS运输管理系统。该系统能够实现对配送信息、轨迹及在途温湿度的可视化监控。提升了对冷链药品的全程在途管理与质量管控能力。（信息来源：http://materialflow.com.cn/zixun/3857.html）" tooltip="http://materialflow.com.cn/zixun/3857.html"/>
    <hyperlink ref="S43" r:id="rId31" display="重庆军卫医药应用了WMS仓储管理系统。该系统能够对药品进行跟踪、追溯和统计。提升了盘点等仓储作业的准确性与管理水平。（信息来源：http://materialflow.com.cn/zixun/3857.html）" tooltip="http://materialflow.com.cn/zixun/3857.html"/>
    <hyperlink ref="S44" r:id="rId25" display="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 tooltip="http://szb.eyesnews.cn/pc/cont/202506/12/content_154236.html"/>
    <hyperlink ref="S46" r:id="rId32" display="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 tooltip="https://caifuhao.eastmoney.com/news/20250930045622564725300"/>
    <hyperlink ref="S47" r:id="rId33" display="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 tooltip="https://finance.sina.cn/2025-06-10/detail-inezqrua5628514.d.html"/>
    <hyperlink ref="S48" r:id="rId34" display="四方麒麟应用了AI智能仓库选址技术。该系统能够基于区域货量密度、交通网络等数据为药企推荐最优仓库位置。实现了配送时效的有效提升。（信息来源：https://xie.infoq.cn/article/624b28d5ade260efae8f35c85）" tooltip="https://xie.infoq.cn/article/624b28d5ade260efae8f35c85"/>
    <hyperlink ref="S49" r:id="rId35" display="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10;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10;国控广东应用了旷视科技的AI视觉技术。该系统能够在药品收货环节自动、快速地对药品信息进行复核。实现了复核准确率高达99%以上，效率提升超50%，扮演了“自动化质检员”的角色。（信息来源：https://robotics.megvii.com/news1-915.html）" tooltip="https://www.freightamigo.com/zh-hans/all-promotion-and-news/"/>
    <hyperlink ref="S53" r:id="rId36" display="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 tooltip="https://xxxy.xzhmu.edu.cn/info/1003/2862.htm"/>
    <hyperlink ref="S54" r:id="rId37" display="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 tooltip="https://news.futunn.com/hk/post/40846191"/>
    <hyperlink ref="S55" r:id="rId38" display="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 tooltip="https://cn.taimei.com/cn/6387"/>
    <hyperlink ref="S56" r:id="rId39" display="国药控股贵州有限公司应用了AGV智能拣选机器人及智能调度系统。该系统能够通过激光导航与视觉识别技术实现“货到人”的自动化分拣。实现了分拣速度达2500件/小时（相当于15名熟练工人作业），物流成本预计降低30%以上，偏远地区药品配送时效从“按周等”提升至“按小时达”。（信息来源：http://szb.eyesnews.cn/pad/cont/202506/12/content_154236.html）" tooltip="http://szb.eyesnews.cn/pad/cont/202506/12/content_154236.html"/>
    <hyperlink ref="S57" r:id="rId40" display="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 tooltip="https://www.sinoxk.com/Accurate_marketing.html"/>
    <hyperlink ref="S58" r:id="rId41" display="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 tooltip="https://m.baike.com/wiki/"/>
    <hyperlink ref="S59" r:id="rId42" display="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 tooltip="https://www.sohu.com/a/870534703_121427489"/>
    <hyperlink ref="S60" r:id="rId43" display="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 tooltip="https://www.cnwomen.com.cn/2025/05/23/wap_99729913.html"/>
    <hyperlink ref="S61" r:id="rId44" display="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 tooltip="https://www.xinhuanet.com/20250107/d65f17c0010844e1b2f5ff387fc426e8/c.html"/>
    <hyperlink ref="S62" r:id="rId45" display="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 tooltip="https://sdaa.tdua.org.tw/award/61"/>
    <hyperlink ref="S63" r:id="rId39" display="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 tooltip="http://szb.eyesnews.cn/pad/cont/202506/12/content_154236.html"/>
    <hyperlink ref="S64" r:id="rId46" display="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 tooltip="https://www.163.com/dy/article/K7E649DO0518FC07.html"/>
    <hyperlink ref="S65" r:id="rId47" display="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 tooltip="https://www.datastory.com.cn/product/sagacity"/>
    <hyperlink ref="S66" r:id="rId48" display="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 tooltip="https://www.landseed.com.cn/news-list/view/433d9433088B"/>
    <hyperlink ref="S67" r:id="rId49" display="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 tooltip="https://www.nmpaic.org.cn/zhuanti/ypzhjgdxalzjhd/dxal/zhjgal_958/202405/t20240513_424342.html"/>
    <hyperlink ref="S69" r:id="rId50" display="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 tooltip="https://health.gmw.cn/2024-05/28/content_37349109.htm"/>
    <hyperlink ref="S70" r:id="rId51" display="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 tooltip="https://www.cecc.org.cn/news/202212/570458.html"/>
    <hyperlink ref="S71" r:id="rId52" display="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 tooltip="http://m.163.com/dy/article/KBUCH6VG05568W0A.html"/>
    <hyperlink ref="S72" r:id="rId53" display="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 tooltip="http://m.163.com/news/article/KBUCH6VG05568W0A.html"/>
    <hyperlink ref="S73" r:id="rId52" display="一心堂药业应用了AI大模型智能客服系统。该系统能够通过人机协同处理用户咨询。实现了客服响应时间缩短至20-90秒，并在客户满意度调查中使“服务专业性”评分提升15%。（信息来源：http://m.163.com/dy/article/KBUCH6VG05568W0A.html）" tooltip="http://m.163.com/dy/article/KBUCH6VG05568W0A.html"/>
    <hyperlink ref="S74" r:id="rId54" display="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 tooltip="http://m.163.com/dy/article/KBEE16R30534Q32Z.html"/>
    <hyperlink ref="S75" r:id="rId55" display="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 tooltip="https://m.sohu.com/a/920684862_121427489"/>
    <hyperlink ref="S76" r:id="rId56" display="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 tooltip="http://m.toutiao.com/group/7537152861893968434"/>
    <hyperlink ref="S82" r:id="rId57" display="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 tooltip="https://www.jdy.com/article/1965260489588027393.html"/>
    <hyperlink ref="S83" r:id="rId58" display="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 tooltip="https://www.guandata.com/gy/post/BeCJaZ1w.html"/>
    <hyperlink ref="S84" r:id="rId59" display="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 tooltip="https://www.dayee.com/newsDetail-316.html"/>
    <hyperlink ref="S85" r:id="rId60" display="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 tooltip="https://www.sinopharmgroup.com.cn/gykg/7/gksk/A006011002Gone1.html"/>
    <hyperlink ref="S86" r:id="rId61" display="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 tooltip="https://www.guandata.com/gy/post/PTMAxsPm.html"/>
    <hyperlink ref="S87" r:id="rId48" display="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 tooltip="https://www.landseed.com.cn/news-list/view/433d9433088B"/>
    <hyperlink ref="S88" r:id="rId62" display="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 tooltip="https://www.huashikai.com/"/>
    <hyperlink ref="S89" r:id="rId63" display="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 tooltip="https://m.shushangyun.com/article-23262.html"/>
    <hyperlink ref="S90" r:id="rId64" display="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 tooltip="http://shanxi.chinatax.gov.cn/son/detail/yq-11403-3393-1802036"/>
    <hyperlink ref="S91" r:id="rId65" display="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 tooltip="https://m.hr-soft.cn/info/2025101135976.html"/>
    <hyperlink ref="S92" r:id="rId66" display="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 tooltip="https://www.sinostrong.com/article/2721.html"/>
    <hyperlink ref="S93" r:id="rId67" display="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 tooltip="https://page.dingtalk.com/wow/tianyuan/act/toufang?wh_showError=true&amp;caseId=NTMzNw=="/>
    <hyperlink ref="S94" r:id="rId68" display="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 tooltip="https://stock.hexun.com/2025-10-20/221861282.html"/>
    <hyperlink ref="S95" r:id="rId69" display="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 tooltip="http://www.eracare.cn/"/>
    <hyperlink ref="S96" r:id="rId70" display="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 tooltip="http://www.ce.cn/cysc//yy/hydt/202503/21/t20250321_39327117.shtml"/>
    <hyperlink ref="S97" r:id="rId71" display="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 tooltip="http://www.chengyang.gov.cn/zfxxgk/bmfdgknr/dsjfzglj/ywflxxgk/xxzhcsjs/202203/t20220312_4816461.shtml"/>
    <hyperlink ref="S98" r:id="rId72" display="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 tooltip="http://m.toutiao.com/group/7544320585560605247/"/>
    <hyperlink ref="S99" r:id="rId73" display="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10;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 tooltip="https://m.jrj.com.cn/madapter/finance/2025/02/17123948196598.shtml"/>
    <hyperlink ref="S100" r:id="rId70" display="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 tooltip="http://www.ce.cn/cysc//yy/hydt/202503/21/t20250321_39327117.shtml"/>
    <hyperlink ref="S101" r:id="rId74" display="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 tooltip="https://finance.sina.com.cn/jjxw/2024-12-19/doc-inczyhfy0238937.shtml"/>
    <hyperlink ref="S102" r:id="rId75" display="今日人才应用了“会议大师”智能体。该系统能够实现从议程生成到纪要督办的会议全流程自动化。有效降低了行政人力成本，提升了会议组织与管理的效率。（信息来源：https://h5.ifeng.com/c/vivo/v002C7LWdK6Kc3A8F2TCc0OeitXqKWlFdb-_9qTKfsOkXDuw__）" tooltip="https://h5.ifeng.com/c/vivo/v002C7LWdK6Kc3A8F2TCc0OeitXqKWlFdb-_9qTKfsOkXDuw"/>
    <hyperlink ref="S103" r:id="rId76" display="通达信应用了AI智能助手。该系统能够支持语音创建会议并自动分配资源。实现了会议冲突率下降，会议室利用率得到大幅提升。（信息来源：https://www.163.com/dy/article/JTP4K1TM05532EJS.html）" tooltip="https://www.163.com/dy/article/JTP4K1TM05532EJS.html"/>
    <hyperlink ref="S104" r:id="rId77" display="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 tooltip="https://www.qlwb.com.cn/detail/25744570.html"/>
    <hyperlink ref="S105" r:id="rId78" display="杭州医学院应用了AI数字人微党课制作系统。该系统能够自动生成数字人微党课视频。制作了112个微党课视频，方便了师生进行碎片化学习，创新了党员教育形式。（信息来源：https://jyyxy.hmc.edu.cn/art/2025/9/25/art_1412_169120.html）" tooltip="https://jyyxy.hmc.edu.cn/art/2025/9/25/art_1412_169120.html"/>
    <hyperlink ref="S106" r:id="rId75" display="今日人才应用了“公文写作助手”智能体。该系统能够支持会议纪要、合规报告等文档的自动生成。实现了格式错误率下降，写作时间大幅缩短，提升了公文写作效率。（信息来源：https://h5.ifeng.com/c/vivo/v002C7LWdK6Kc3A8F2TCc0OeitXqKWlFdb-_9qTKfsOkXDuw__）" tooltip="https://h5.ifeng.com/c/vivo/v002C7LWdK6Kc3A8F2TCc0OeitXqKWlFdb-_9qTKfsOkXDuw"/>
    <hyperlink ref="S107" r:id="rId79" display="国药医疗健康产业有限公司应用了致远互联AI-COP智能协同运营平台。该系统能够搭建并管理党建事务。旨在提升党建工作水平，推动党组织规范化与信息化建设。（信息来源：https://www.seeyon.com/News/desc/id/7697/typeid/index.php.html）" tooltip="https://www.seeyon.com/News/desc/id/7697/typeid/index.php.html"/>
    <hyperlink ref="S108" r:id="rId80" display="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 tooltip="https://news.iresearch.cn/yx/2025/04/523240.shtml"/>
    <hyperlink ref="S109" r:id="rId81" display="云南省生物医药产业应用了基于区块链的可信供应链金融平台。该系统能够利用区块链数据可追溯且难以篡改的特性，使上下游中小药商的交易数据和信用数据更加透明、可信。显著提升了产业链的融资可信度与效率。（信息来源：https://xuper.baidu.com/n/xuperdoc/developing_apps/dapps/scf.html）" tooltip="https://xuper.baidu.com/n/xuperdoc/developing_apps/dapps/scf.html"/>
    <hyperlink ref="S110" r:id="rId82" display="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 tooltip="https://www.zgcznet.com/pub/cjzzs/yhfw/gkcx/gkcxcwykj/cwkj2217/cwkj2217/202210/20221027/j_2022102716541500016668609887296840.html"/>
    <hyperlink ref="S111" r:id="rId83" display="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 tooltip="http://m.toutiao.com/group/7530454372053729818/"/>
    <hyperlink ref="S112" r:id="rId72" display="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 tooltip="http://m.toutiao.com/group/7544320585560605247/"/>
    <hyperlink ref="S113" r:id="rId84" display="云南白药应用了数字员工“白小七”。该系统能够通过分析员工技能短板与业务需求，自动生成并管理个性化培训计划。实现了培训规划的智能化与精准化，提升了人才发展效率。（信息来源：https://www.ciotimes.com/txhhd/222932.html）" tooltip="https://www.ciotimes.com/txhhd/222932.html"/>
    <hyperlink ref="S30" r:id="rId85" display="智能匹配全球不同渠道的酒店名称、房型、价格等数据。&#10;多维特征智能匹配：基于名称、描述等多维特征进行匹配。&#10;提升准确率：采用双路召回（BM25+向量检索）和AI排序，目标准确率超92%。&#10;自动优化：系统探索利用强化学习持续优化匹配策略。&#10;（信息来源：https://www.derbysoft.com/cn/derbysoft-ai-mapping/）"/>
  </hyperlink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B5" sqref="B5"/>
    </sheetView>
  </sheetViews>
  <sheetFormatPr defaultColWidth="8.72727272727273" defaultRowHeight="14" outlineLevelCol="2"/>
  <cols>
    <col min="1" max="1" width="31.6363636363636" customWidth="1"/>
    <col min="2" max="2" width="36.2727272727273" customWidth="1"/>
    <col min="3" max="3" width="56" customWidth="1"/>
  </cols>
  <sheetData>
    <row r="1" spans="1:3">
      <c r="A1" s="39" t="s">
        <v>2</v>
      </c>
      <c r="B1" s="39" t="s">
        <v>7</v>
      </c>
      <c r="C1" s="39" t="s">
        <v>13</v>
      </c>
    </row>
    <row r="2" ht="25" customHeight="1" spans="1:3">
      <c r="A2" s="40"/>
      <c r="B2" s="40"/>
      <c r="C2" s="40"/>
    </row>
    <row r="3" spans="1:3">
      <c r="A3" s="39" t="s">
        <v>1009</v>
      </c>
      <c r="B3" s="39" t="s">
        <v>1010</v>
      </c>
      <c r="C3" s="40"/>
    </row>
    <row r="4" ht="26" customHeight="1" spans="1:3">
      <c r="A4" s="40"/>
      <c r="B4" s="40"/>
      <c r="C4" s="40"/>
    </row>
    <row r="5" ht="16" customHeight="1" spans="1:3">
      <c r="A5" s="41" t="s">
        <v>3</v>
      </c>
      <c r="B5" s="42"/>
      <c r="C5" s="40"/>
    </row>
    <row r="6" ht="26" customHeight="1" spans="1:3">
      <c r="A6" s="40"/>
      <c r="B6" s="40"/>
      <c r="C6" s="40"/>
    </row>
    <row r="7" spans="1:3">
      <c r="A7" s="43" t="s">
        <v>1</v>
      </c>
      <c r="B7" s="44"/>
      <c r="C7" s="40"/>
    </row>
    <row r="8" ht="33" customHeight="1" spans="1:3">
      <c r="A8" s="40"/>
      <c r="B8" s="40"/>
      <c r="C8" s="40"/>
    </row>
    <row r="9" spans="1:3">
      <c r="A9" s="43" t="s">
        <v>12</v>
      </c>
      <c r="B9" s="45"/>
      <c r="C9" s="40"/>
    </row>
    <row r="10" ht="165" customHeight="1" spans="1:3">
      <c r="A10" s="46"/>
      <c r="B10" s="47"/>
      <c r="C10" s="40"/>
    </row>
  </sheetData>
  <mergeCells count="5">
    <mergeCell ref="A7:B7"/>
    <mergeCell ref="A8:B8"/>
    <mergeCell ref="A9:B9"/>
    <mergeCell ref="A10:B10"/>
    <mergeCell ref="C2:C1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30" sqref="J30"/>
    </sheetView>
  </sheetViews>
  <sheetFormatPr defaultColWidth="8.72727272727273" defaultRowHeight="14"/>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3" sqref="F13"/>
    </sheetView>
  </sheetViews>
  <sheetFormatPr defaultColWidth="8.72727272727273" defaultRowHeight="14"/>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C19" sqref="C19"/>
    </sheetView>
  </sheetViews>
  <sheetFormatPr defaultColWidth="8.72727272727273" defaultRowHeight="14" outlineLevelRow="7" outlineLevelCol="3"/>
  <cols>
    <col min="1" max="1" width="20.6272727272727" customWidth="1"/>
    <col min="2" max="2" width="20.3454545454545" style="26" customWidth="1"/>
    <col min="3" max="3" width="62.8181818181818" customWidth="1"/>
    <col min="4" max="4" width="22.3727272727273" customWidth="1"/>
    <col min="5" max="5" width="42.8181818181818" customWidth="1"/>
  </cols>
  <sheetData>
    <row r="1" spans="1:4">
      <c r="A1" s="29" t="s">
        <v>1011</v>
      </c>
      <c r="B1" s="29"/>
      <c r="C1" s="29"/>
      <c r="D1" s="30" t="s">
        <v>1012</v>
      </c>
    </row>
    <row r="2" ht="56" spans="1:4">
      <c r="A2" s="31" t="s">
        <v>1013</v>
      </c>
      <c r="B2" s="32" t="s">
        <v>1014</v>
      </c>
      <c r="C2" s="32" t="s">
        <v>1015</v>
      </c>
      <c r="D2" s="8"/>
    </row>
    <row r="3" ht="56" spans="1:4">
      <c r="A3" s="33"/>
      <c r="B3" s="34" t="s">
        <v>1016</v>
      </c>
      <c r="C3" s="34" t="s">
        <v>1017</v>
      </c>
      <c r="D3" s="8"/>
    </row>
    <row r="4" ht="56" spans="1:4">
      <c r="A4" s="35" t="s">
        <v>1018</v>
      </c>
      <c r="B4" s="34" t="s">
        <v>1019</v>
      </c>
      <c r="C4" s="34" t="s">
        <v>1020</v>
      </c>
      <c r="D4" s="8"/>
    </row>
    <row r="5" ht="42" spans="1:4">
      <c r="A5" s="33"/>
      <c r="B5" s="34" t="s">
        <v>1021</v>
      </c>
      <c r="C5" s="34" t="s">
        <v>1022</v>
      </c>
      <c r="D5" s="8"/>
    </row>
    <row r="6" ht="98" spans="1:4">
      <c r="A6" s="35" t="s">
        <v>1023</v>
      </c>
      <c r="B6" s="34" t="s">
        <v>1024</v>
      </c>
      <c r="C6" s="34" t="s">
        <v>1025</v>
      </c>
      <c r="D6" s="8"/>
    </row>
    <row r="7" ht="98" spans="1:4">
      <c r="A7" s="33"/>
      <c r="B7" s="34" t="s">
        <v>1026</v>
      </c>
      <c r="C7" s="34" t="s">
        <v>1027</v>
      </c>
      <c r="D7" s="8"/>
    </row>
    <row r="8" spans="1:4">
      <c r="A8" s="36" t="s">
        <v>1028</v>
      </c>
      <c r="B8" s="37"/>
      <c r="C8" s="38"/>
      <c r="D8" s="8"/>
    </row>
  </sheetData>
  <mergeCells count="5">
    <mergeCell ref="A1:C1"/>
    <mergeCell ref="A8:C8"/>
    <mergeCell ref="A2:A3"/>
    <mergeCell ref="A4:A5"/>
    <mergeCell ref="A6:A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D11" sqref="D11"/>
    </sheetView>
  </sheetViews>
  <sheetFormatPr defaultColWidth="8.72727272727273" defaultRowHeight="14" outlineLevelRow="4" outlineLevelCol="3"/>
  <cols>
    <col min="1" max="1" width="20.6272727272727" customWidth="1"/>
    <col min="2" max="2" width="12.6363636363636" style="26" customWidth="1"/>
    <col min="3" max="3" width="30.6363636363636" customWidth="1"/>
    <col min="4" max="4" width="22.3727272727273" customWidth="1"/>
    <col min="5" max="5" width="42.8181818181818" customWidth="1"/>
  </cols>
  <sheetData>
    <row r="1" spans="1:4">
      <c r="A1" s="28" t="s">
        <v>1029</v>
      </c>
      <c r="B1" s="28" t="s">
        <v>1030</v>
      </c>
      <c r="C1" s="28" t="s">
        <v>1031</v>
      </c>
      <c r="D1" s="28" t="s">
        <v>1032</v>
      </c>
    </row>
    <row r="2" ht="70" spans="1:4">
      <c r="A2" s="27" t="s">
        <v>1033</v>
      </c>
      <c r="B2" s="27" t="s">
        <v>1034</v>
      </c>
      <c r="C2" s="27" t="s">
        <v>1035</v>
      </c>
      <c r="D2" s="27" t="s">
        <v>1036</v>
      </c>
    </row>
    <row r="3" ht="70" spans="1:4">
      <c r="A3" s="27" t="s">
        <v>1037</v>
      </c>
      <c r="B3" s="27" t="s">
        <v>1038</v>
      </c>
      <c r="C3" s="27" t="s">
        <v>1039</v>
      </c>
      <c r="D3" s="27" t="s">
        <v>1040</v>
      </c>
    </row>
    <row r="4" ht="56" spans="1:4">
      <c r="A4" s="27" t="s">
        <v>1041</v>
      </c>
      <c r="B4" s="27" t="s">
        <v>1042</v>
      </c>
      <c r="C4" s="27" t="s">
        <v>1043</v>
      </c>
      <c r="D4" s="27" t="s">
        <v>1044</v>
      </c>
    </row>
    <row r="5" ht="70" spans="1:4">
      <c r="A5" s="27" t="s">
        <v>1045</v>
      </c>
      <c r="B5" s="27" t="s">
        <v>1046</v>
      </c>
      <c r="C5" s="27" t="s">
        <v>1047</v>
      </c>
      <c r="D5" s="27" t="s">
        <v>1048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C9" sqref="C9"/>
    </sheetView>
  </sheetViews>
  <sheetFormatPr defaultColWidth="8.72727272727273" defaultRowHeight="14" outlineLevelRow="4" outlineLevelCol="4"/>
  <cols>
    <col min="1" max="1" width="8.63636363636364" customWidth="1"/>
    <col min="2" max="2" width="12.6363636363636" style="26" customWidth="1"/>
    <col min="3" max="3" width="20.6363636363636" customWidth="1"/>
    <col min="4" max="4" width="22.3727272727273" customWidth="1"/>
    <col min="5" max="5" width="42.8181818181818" customWidth="1"/>
  </cols>
  <sheetData>
    <row r="1" ht="28" spans="1:5">
      <c r="A1" s="27" t="s">
        <v>10</v>
      </c>
      <c r="B1" s="27" t="s">
        <v>1049</v>
      </c>
      <c r="C1" s="27" t="s">
        <v>1050</v>
      </c>
      <c r="D1" s="27" t="s">
        <v>1051</v>
      </c>
      <c r="E1" s="27" t="s">
        <v>1032</v>
      </c>
    </row>
    <row r="2" ht="28" spans="1:5">
      <c r="A2" s="27" t="s">
        <v>1052</v>
      </c>
      <c r="B2" s="27" t="s">
        <v>1053</v>
      </c>
      <c r="C2" s="27" t="s">
        <v>1054</v>
      </c>
      <c r="D2" s="27" t="s">
        <v>1054</v>
      </c>
      <c r="E2" s="27" t="s">
        <v>1055</v>
      </c>
    </row>
    <row r="3" ht="28" spans="1:5">
      <c r="A3" s="27" t="s">
        <v>1056</v>
      </c>
      <c r="B3" s="27" t="s">
        <v>1057</v>
      </c>
      <c r="C3" s="27" t="s">
        <v>1058</v>
      </c>
      <c r="D3" s="27" t="s">
        <v>1058</v>
      </c>
      <c r="E3" s="27" t="s">
        <v>1059</v>
      </c>
    </row>
    <row r="4" ht="28" spans="1:5">
      <c r="A4" s="27" t="s">
        <v>1060</v>
      </c>
      <c r="B4" s="27" t="s">
        <v>1061</v>
      </c>
      <c r="C4" s="27" t="s">
        <v>1062</v>
      </c>
      <c r="D4" s="27" t="s">
        <v>1062</v>
      </c>
      <c r="E4" s="27" t="s">
        <v>1063</v>
      </c>
    </row>
    <row r="5" ht="28" spans="1:5">
      <c r="A5" s="27" t="s">
        <v>1064</v>
      </c>
      <c r="B5" s="27" t="s">
        <v>1065</v>
      </c>
      <c r="C5" s="27" t="s">
        <v>1066</v>
      </c>
      <c r="D5" s="27" t="s">
        <v>1066</v>
      </c>
      <c r="E5" s="27" t="s">
        <v>1067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A2" sqref="A2:A9"/>
    </sheetView>
  </sheetViews>
  <sheetFormatPr defaultColWidth="8.72727272727273" defaultRowHeight="14" outlineLevelCol="4"/>
  <cols>
    <col min="1" max="1" width="17.6363636363636" customWidth="1"/>
    <col min="2" max="2" width="17.8181818181818" customWidth="1"/>
    <col min="3" max="3" width="22.4545454545455" customWidth="1"/>
    <col min="4" max="4" width="17.6363636363636" customWidth="1"/>
    <col min="5" max="5" width="47.9090909090909" customWidth="1"/>
  </cols>
  <sheetData>
    <row r="1" spans="1:5">
      <c r="A1" s="11" t="s">
        <v>1068</v>
      </c>
      <c r="B1" s="11" t="s">
        <v>1069</v>
      </c>
      <c r="C1" s="11" t="s">
        <v>1070</v>
      </c>
      <c r="D1" s="11" t="s">
        <v>1071</v>
      </c>
      <c r="E1" s="11" t="s">
        <v>1072</v>
      </c>
    </row>
    <row r="2" spans="1:5">
      <c r="A2" s="12" t="s">
        <v>1073</v>
      </c>
      <c r="B2" s="12" t="s">
        <v>1074</v>
      </c>
      <c r="C2" s="13" t="s">
        <v>1075</v>
      </c>
      <c r="D2" s="13" t="s">
        <v>1076</v>
      </c>
      <c r="E2" s="13" t="s">
        <v>1077</v>
      </c>
    </row>
    <row r="3" customHeight="1" spans="1:5">
      <c r="A3" s="14"/>
      <c r="B3" s="14"/>
      <c r="C3" s="13" t="s">
        <v>1078</v>
      </c>
      <c r="D3" s="13" t="s">
        <v>1079</v>
      </c>
      <c r="E3" s="13" t="s">
        <v>1080</v>
      </c>
    </row>
    <row r="4" spans="1:5">
      <c r="A4" s="14"/>
      <c r="B4" s="15"/>
      <c r="C4" s="13" t="s">
        <v>1081</v>
      </c>
      <c r="D4" s="13" t="s">
        <v>1082</v>
      </c>
      <c r="E4" s="13" t="s">
        <v>1083</v>
      </c>
    </row>
    <row r="5" customHeight="1" spans="1:5">
      <c r="A5" s="14"/>
      <c r="B5" s="16" t="s">
        <v>1084</v>
      </c>
      <c r="C5" s="13" t="s">
        <v>1085</v>
      </c>
      <c r="D5" s="13" t="s">
        <v>1086</v>
      </c>
      <c r="E5" s="13" t="s">
        <v>1087</v>
      </c>
    </row>
    <row r="6" spans="1:5">
      <c r="A6" s="14"/>
      <c r="B6" s="12" t="s">
        <v>1088</v>
      </c>
      <c r="C6" s="13" t="s">
        <v>1089</v>
      </c>
      <c r="D6" s="13" t="s">
        <v>1090</v>
      </c>
      <c r="E6" s="13" t="s">
        <v>1091</v>
      </c>
    </row>
    <row r="7" customHeight="1" spans="1:5">
      <c r="A7" s="14"/>
      <c r="B7" s="14"/>
      <c r="C7" s="13" t="s">
        <v>1092</v>
      </c>
      <c r="D7" s="13" t="s">
        <v>1093</v>
      </c>
      <c r="E7" s="13" t="s">
        <v>1094</v>
      </c>
    </row>
    <row r="8" ht="28" spans="1:5">
      <c r="A8" s="14"/>
      <c r="B8" s="15"/>
      <c r="C8" s="13" t="s">
        <v>1095</v>
      </c>
      <c r="D8" s="13" t="s">
        <v>1096</v>
      </c>
      <c r="E8" s="13" t="s">
        <v>1097</v>
      </c>
    </row>
    <row r="9" spans="1:5">
      <c r="A9" s="15"/>
      <c r="B9" s="16" t="s">
        <v>1098</v>
      </c>
      <c r="C9" s="13" t="s">
        <v>1099</v>
      </c>
      <c r="D9" s="13" t="s">
        <v>1086</v>
      </c>
      <c r="E9" s="13" t="s">
        <v>1100</v>
      </c>
    </row>
    <row r="10" customHeight="1" spans="1:5">
      <c r="A10" s="12" t="s">
        <v>1101</v>
      </c>
      <c r="B10" s="12" t="s">
        <v>1102</v>
      </c>
      <c r="C10" s="13" t="s">
        <v>1103</v>
      </c>
      <c r="D10" s="17" t="s">
        <v>1104</v>
      </c>
      <c r="E10" s="13" t="s">
        <v>1105</v>
      </c>
    </row>
    <row r="11" spans="1:5">
      <c r="A11" s="15"/>
      <c r="B11" s="15"/>
      <c r="C11" s="13" t="s">
        <v>1106</v>
      </c>
      <c r="D11" s="17" t="s">
        <v>1107</v>
      </c>
      <c r="E11" s="13" t="s">
        <v>1108</v>
      </c>
    </row>
    <row r="12" customHeight="1" spans="1:5">
      <c r="A12" s="12" t="s">
        <v>1109</v>
      </c>
      <c r="B12" s="18" t="s">
        <v>1110</v>
      </c>
      <c r="C12" s="19"/>
      <c r="D12" s="19"/>
      <c r="E12" s="20"/>
    </row>
    <row r="13" spans="1:5">
      <c r="A13" s="14"/>
      <c r="B13" s="21"/>
      <c r="C13" s="22"/>
      <c r="D13" s="22"/>
      <c r="E13" s="23"/>
    </row>
    <row r="14" customHeight="1" spans="1:5">
      <c r="A14" s="14"/>
      <c r="B14" s="13" t="s">
        <v>1111</v>
      </c>
      <c r="C14" s="13" t="s">
        <v>1112</v>
      </c>
      <c r="D14" s="13" t="s">
        <v>1113</v>
      </c>
      <c r="E14" s="13" t="s">
        <v>1114</v>
      </c>
    </row>
    <row r="15" ht="28" spans="1:5">
      <c r="A15" s="14"/>
      <c r="B15" s="13" t="s">
        <v>1115</v>
      </c>
      <c r="C15" s="13" t="s">
        <v>1116</v>
      </c>
      <c r="D15" s="13" t="s">
        <v>1117</v>
      </c>
      <c r="E15" s="13" t="s">
        <v>1118</v>
      </c>
    </row>
    <row r="16" customHeight="1" spans="1:5">
      <c r="A16" s="15"/>
      <c r="B16" s="13" t="s">
        <v>1119</v>
      </c>
      <c r="C16" s="13" t="s">
        <v>1120</v>
      </c>
      <c r="D16" s="17" t="s">
        <v>1121</v>
      </c>
      <c r="E16" s="13" t="s">
        <v>1122</v>
      </c>
    </row>
    <row r="17" ht="14.5" customHeight="1" spans="1:5">
      <c r="A17" s="12" t="s">
        <v>1123</v>
      </c>
      <c r="B17" s="12" t="s">
        <v>1124</v>
      </c>
      <c r="C17" s="13" t="s">
        <v>1125</v>
      </c>
      <c r="D17" s="24">
        <v>1</v>
      </c>
      <c r="E17" s="13" t="s">
        <v>1126</v>
      </c>
    </row>
    <row r="18" customHeight="1" spans="1:5">
      <c r="A18" s="14"/>
      <c r="B18" s="14"/>
      <c r="C18" s="13" t="s">
        <v>1127</v>
      </c>
      <c r="D18" s="25" t="s">
        <v>1128</v>
      </c>
      <c r="E18" s="13" t="s">
        <v>1129</v>
      </c>
    </row>
    <row r="19" spans="1:5">
      <c r="A19" s="14"/>
      <c r="B19" s="15"/>
      <c r="C19" s="13" t="s">
        <v>1130</v>
      </c>
      <c r="D19" s="25" t="s">
        <v>1131</v>
      </c>
      <c r="E19" s="13" t="s">
        <v>1132</v>
      </c>
    </row>
    <row r="20" spans="1:5">
      <c r="A20" s="14"/>
      <c r="B20" s="12" t="s">
        <v>1133</v>
      </c>
      <c r="C20" s="13" t="s">
        <v>1134</v>
      </c>
      <c r="D20" s="25">
        <v>1</v>
      </c>
      <c r="E20" s="13" t="s">
        <v>1135</v>
      </c>
    </row>
    <row r="21" spans="1:5">
      <c r="A21" s="14"/>
      <c r="B21" s="14"/>
      <c r="C21" s="13" t="s">
        <v>1136</v>
      </c>
      <c r="D21" s="25" t="s">
        <v>1137</v>
      </c>
      <c r="E21" s="13" t="s">
        <v>1138</v>
      </c>
    </row>
    <row r="22" spans="1:5">
      <c r="A22" s="15"/>
      <c r="B22" s="15"/>
      <c r="C22" s="13" t="s">
        <v>1139</v>
      </c>
      <c r="D22" s="25" t="s">
        <v>1140</v>
      </c>
      <c r="E22" s="13" t="s">
        <v>1141</v>
      </c>
    </row>
  </sheetData>
  <mergeCells count="10">
    <mergeCell ref="A2:A9"/>
    <mergeCell ref="A10:A11"/>
    <mergeCell ref="A12:A16"/>
    <mergeCell ref="A17:A22"/>
    <mergeCell ref="B2:B4"/>
    <mergeCell ref="B6:B8"/>
    <mergeCell ref="B10:B11"/>
    <mergeCell ref="B17:B19"/>
    <mergeCell ref="B20:B22"/>
    <mergeCell ref="B12:E1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2" sqref="A2"/>
    </sheetView>
  </sheetViews>
  <sheetFormatPr defaultColWidth="8.72727272727273" defaultRowHeight="14" outlineLevelRow="7" outlineLevelCol="1"/>
  <cols>
    <col min="1" max="1" width="16.2727272727273" customWidth="1"/>
    <col min="2" max="2" width="98.5454545454545" customWidth="1"/>
  </cols>
  <sheetData>
    <row r="1" spans="1:2">
      <c r="A1" s="7" t="s">
        <v>1142</v>
      </c>
      <c r="B1" s="7" t="s">
        <v>1143</v>
      </c>
    </row>
    <row r="2" ht="266" spans="1:2">
      <c r="A2" s="8" t="s">
        <v>5</v>
      </c>
      <c r="B2" s="9" t="s">
        <v>1144</v>
      </c>
    </row>
    <row r="3" ht="182" spans="1:2">
      <c r="A3" s="8" t="s">
        <v>12</v>
      </c>
      <c r="B3" s="9" t="s">
        <v>1145</v>
      </c>
    </row>
    <row r="4" ht="168" spans="1:2">
      <c r="A4" s="8" t="s">
        <v>13</v>
      </c>
      <c r="B4" s="10" t="s">
        <v>1146</v>
      </c>
    </row>
    <row r="5" ht="266" spans="1:2">
      <c r="A5" s="8" t="s">
        <v>14</v>
      </c>
      <c r="B5" s="9" t="s">
        <v>1147</v>
      </c>
    </row>
    <row r="6" ht="182" spans="1:2">
      <c r="A6" s="8" t="s">
        <v>16</v>
      </c>
      <c r="B6" s="9" t="s">
        <v>1148</v>
      </c>
    </row>
    <row r="7" ht="280" spans="1:2">
      <c r="A7" s="8" t="s">
        <v>17</v>
      </c>
      <c r="B7" s="9" t="s">
        <v>1149</v>
      </c>
    </row>
    <row r="8" ht="112" spans="1:2">
      <c r="A8" s="8" t="s">
        <v>18</v>
      </c>
      <c r="B8" s="9" t="s">
        <v>1150</v>
      </c>
    </row>
  </sheetData>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2"/>
  <sheetViews>
    <sheetView topLeftCell="A117" workbookViewId="0">
      <selection activeCell="B132" sqref="B115:B132"/>
    </sheetView>
  </sheetViews>
  <sheetFormatPr defaultColWidth="8.72727272727273" defaultRowHeight="14"/>
  <cols>
    <col min="2" max="2" width="17.9090909090909" customWidth="1"/>
    <col min="3" max="3" width="21.6363636363636" style="4" customWidth="1"/>
  </cols>
  <sheetData>
    <row r="1" ht="70" spans="1:13">
      <c r="A1" s="5" t="s">
        <v>0</v>
      </c>
      <c r="B1" s="5" t="s">
        <v>2</v>
      </c>
      <c r="C1" s="6" t="s">
        <v>3</v>
      </c>
      <c r="D1" s="5" t="s">
        <v>1</v>
      </c>
      <c r="E1" s="5" t="s">
        <v>1151</v>
      </c>
      <c r="F1" s="5" t="s">
        <v>1152</v>
      </c>
      <c r="G1" s="5" t="s">
        <v>1153</v>
      </c>
      <c r="H1" s="5" t="s">
        <v>1154</v>
      </c>
      <c r="I1" s="5" t="s">
        <v>1155</v>
      </c>
      <c r="J1" s="5" t="s">
        <v>1156</v>
      </c>
      <c r="K1" s="5" t="s">
        <v>1157</v>
      </c>
      <c r="L1" s="5" t="s">
        <v>1031</v>
      </c>
      <c r="M1" s="5" t="s">
        <v>1158</v>
      </c>
    </row>
    <row r="2" spans="1:13">
      <c r="A2" s="5"/>
      <c r="B2" s="5" t="s">
        <v>187</v>
      </c>
      <c r="C2" s="6" t="str">
        <f>VLOOKUP(B2,AI项目集!$C$2:$D$189,2,0)</f>
        <v>GYL018</v>
      </c>
      <c r="D2" s="5" t="s">
        <v>19</v>
      </c>
      <c r="E2" s="5">
        <v>15</v>
      </c>
      <c r="F2" s="5">
        <v>15</v>
      </c>
      <c r="G2" s="5">
        <v>15</v>
      </c>
      <c r="H2" s="5">
        <v>15</v>
      </c>
      <c r="I2" s="5">
        <v>14</v>
      </c>
      <c r="J2" s="5">
        <v>13</v>
      </c>
      <c r="K2" s="5">
        <v>87</v>
      </c>
      <c r="L2" s="5" t="s">
        <v>92</v>
      </c>
      <c r="M2" s="5">
        <v>10</v>
      </c>
    </row>
    <row r="3" ht="28" spans="1:13">
      <c r="A3" s="5"/>
      <c r="B3" s="5" t="s">
        <v>1159</v>
      </c>
      <c r="C3" s="6" t="e">
        <f>VLOOKUP(B3,AI项目集!$C$2:$D$189,2,0)</f>
        <v>#N/A</v>
      </c>
      <c r="D3" s="5" t="s">
        <v>318</v>
      </c>
      <c r="E3" s="5">
        <v>15</v>
      </c>
      <c r="F3" s="5">
        <v>15</v>
      </c>
      <c r="G3" s="5">
        <v>15</v>
      </c>
      <c r="H3" s="5">
        <v>15</v>
      </c>
      <c r="I3" s="5">
        <v>14</v>
      </c>
      <c r="J3" s="5">
        <v>13</v>
      </c>
      <c r="K3" s="5">
        <v>87</v>
      </c>
      <c r="L3" s="5" t="s">
        <v>92</v>
      </c>
      <c r="M3" s="5">
        <v>10</v>
      </c>
    </row>
    <row r="4" ht="28" spans="1:13">
      <c r="A4" s="5"/>
      <c r="B4" s="5" t="s">
        <v>802</v>
      </c>
      <c r="C4" s="6" t="str">
        <f>VLOOKUP(B4,AI项目集!$C$2:$D$189,2,0)</f>
        <v>YY014</v>
      </c>
      <c r="D4" s="5" t="s">
        <v>699</v>
      </c>
      <c r="E4" s="5">
        <v>15</v>
      </c>
      <c r="F4" s="5">
        <v>15</v>
      </c>
      <c r="G4" s="5">
        <v>15</v>
      </c>
      <c r="H4" s="5">
        <v>15</v>
      </c>
      <c r="I4" s="5">
        <v>14</v>
      </c>
      <c r="J4" s="5">
        <v>13</v>
      </c>
      <c r="K4" s="5">
        <v>87</v>
      </c>
      <c r="L4" s="5" t="s">
        <v>92</v>
      </c>
      <c r="M4" s="5">
        <v>10</v>
      </c>
    </row>
    <row r="5" ht="28" spans="1:13">
      <c r="A5" s="5"/>
      <c r="B5" s="5" t="s">
        <v>20</v>
      </c>
      <c r="C5" s="6" t="str">
        <f>VLOOKUP(B5,AI项目集!$C$2:$D$189,2,0)</f>
        <v>GYL101</v>
      </c>
      <c r="D5" s="5" t="s">
        <v>19</v>
      </c>
      <c r="E5" s="5">
        <v>15</v>
      </c>
      <c r="F5" s="5">
        <v>15</v>
      </c>
      <c r="G5" s="5">
        <v>15</v>
      </c>
      <c r="H5" s="5">
        <v>15</v>
      </c>
      <c r="I5" s="5">
        <v>18</v>
      </c>
      <c r="J5" s="5">
        <v>18</v>
      </c>
      <c r="K5" s="5">
        <v>86</v>
      </c>
      <c r="L5" s="5" t="s">
        <v>26</v>
      </c>
      <c r="M5" s="5">
        <v>4</v>
      </c>
    </row>
    <row r="6" ht="28" spans="1:13">
      <c r="A6" s="5"/>
      <c r="B6" s="5" t="s">
        <v>88</v>
      </c>
      <c r="C6" s="6" t="str">
        <f>VLOOKUP(B6,AI项目集!$C$2:$D$189,2,0)</f>
        <v>GYL007</v>
      </c>
      <c r="D6" s="5" t="s">
        <v>19</v>
      </c>
      <c r="E6" s="5">
        <v>15</v>
      </c>
      <c r="F6" s="5">
        <v>14</v>
      </c>
      <c r="G6" s="5">
        <v>15</v>
      </c>
      <c r="H6" s="5">
        <v>15</v>
      </c>
      <c r="I6" s="5">
        <v>14</v>
      </c>
      <c r="J6" s="5">
        <v>13</v>
      </c>
      <c r="K6" s="5">
        <v>86</v>
      </c>
      <c r="L6" s="5" t="s">
        <v>92</v>
      </c>
      <c r="M6" s="5">
        <v>10</v>
      </c>
    </row>
    <row r="7" ht="28" spans="1:13">
      <c r="A7" s="5"/>
      <c r="B7" s="5" t="s">
        <v>110</v>
      </c>
      <c r="C7" s="6" t="str">
        <f>VLOOKUP(B7,AI项目集!$C$2:$D$189,2,0)</f>
        <v>GYL109</v>
      </c>
      <c r="D7" s="5" t="s">
        <v>19</v>
      </c>
      <c r="E7" s="5">
        <v>15</v>
      </c>
      <c r="F7" s="5">
        <v>15</v>
      </c>
      <c r="G7" s="5">
        <v>15</v>
      </c>
      <c r="H7" s="5">
        <v>15</v>
      </c>
      <c r="I7" s="5">
        <v>16</v>
      </c>
      <c r="J7" s="5">
        <v>15</v>
      </c>
      <c r="K7" s="5">
        <v>86</v>
      </c>
      <c r="L7" s="5" t="s">
        <v>26</v>
      </c>
      <c r="M7" s="5">
        <v>9</v>
      </c>
    </row>
    <row r="8" ht="28" spans="1:13">
      <c r="A8" s="5"/>
      <c r="B8" s="5" t="s">
        <v>204</v>
      </c>
      <c r="C8" s="6" t="str">
        <f>VLOOKUP(B8,AI项目集!$C$2:$D$189,2,0)</f>
        <v>GYL120</v>
      </c>
      <c r="D8" s="5" t="s">
        <v>19</v>
      </c>
      <c r="E8" s="5">
        <v>15</v>
      </c>
      <c r="F8" s="5">
        <v>15</v>
      </c>
      <c r="G8" s="5">
        <v>15</v>
      </c>
      <c r="H8" s="5">
        <v>15</v>
      </c>
      <c r="I8" s="5">
        <v>14</v>
      </c>
      <c r="J8" s="5">
        <v>12</v>
      </c>
      <c r="K8" s="5">
        <v>86</v>
      </c>
      <c r="L8" s="5" t="s">
        <v>92</v>
      </c>
      <c r="M8" s="5">
        <v>11</v>
      </c>
    </row>
    <row r="9" spans="1:13">
      <c r="A9" s="5"/>
      <c r="B9" s="5" t="s">
        <v>955</v>
      </c>
      <c r="C9" s="6" t="str">
        <f>VLOOKUP(B9,AI项目集!$C$2:$D$189,2,0)</f>
        <v>YY033</v>
      </c>
      <c r="D9" s="5" t="s">
        <v>699</v>
      </c>
      <c r="E9" s="5">
        <v>15</v>
      </c>
      <c r="F9" s="5">
        <v>15</v>
      </c>
      <c r="G9" s="5">
        <v>15</v>
      </c>
      <c r="H9" s="5">
        <v>15</v>
      </c>
      <c r="I9" s="5">
        <v>16</v>
      </c>
      <c r="J9" s="5">
        <v>15</v>
      </c>
      <c r="K9" s="5">
        <v>86</v>
      </c>
      <c r="L9" s="5" t="s">
        <v>26</v>
      </c>
      <c r="M9" s="5">
        <v>9</v>
      </c>
    </row>
    <row r="10" ht="28" spans="1:13">
      <c r="A10" s="5"/>
      <c r="B10" s="5" t="s">
        <v>120</v>
      </c>
      <c r="C10" s="6" t="str">
        <f>VLOOKUP(B10,AI项目集!$C$2:$D$189,2,0)</f>
        <v>GYL110</v>
      </c>
      <c r="D10" s="5" t="s">
        <v>19</v>
      </c>
      <c r="E10" s="5">
        <v>12</v>
      </c>
      <c r="F10" s="5">
        <v>14</v>
      </c>
      <c r="G10" s="5">
        <v>15</v>
      </c>
      <c r="H10" s="5">
        <v>12</v>
      </c>
      <c r="I10" s="5">
        <v>16</v>
      </c>
      <c r="J10" s="5">
        <v>16</v>
      </c>
      <c r="K10" s="5">
        <v>85</v>
      </c>
      <c r="L10" s="5" t="s">
        <v>51</v>
      </c>
      <c r="M10" s="5">
        <v>8</v>
      </c>
    </row>
    <row r="11" ht="28" spans="1:13">
      <c r="A11" s="5"/>
      <c r="B11" s="5" t="s">
        <v>734</v>
      </c>
      <c r="C11" s="6" t="str">
        <f>VLOOKUP(B11,AI项目集!$C$2:$D$189,2,0)</f>
        <v>YY005</v>
      </c>
      <c r="D11" s="5" t="s">
        <v>699</v>
      </c>
      <c r="E11" s="5">
        <v>15</v>
      </c>
      <c r="F11" s="5">
        <v>15</v>
      </c>
      <c r="G11" s="5">
        <v>15</v>
      </c>
      <c r="H11" s="5">
        <v>15</v>
      </c>
      <c r="I11" s="5">
        <v>13</v>
      </c>
      <c r="J11" s="5">
        <v>12</v>
      </c>
      <c r="K11" s="5">
        <v>85</v>
      </c>
      <c r="L11" s="5" t="s">
        <v>51</v>
      </c>
      <c r="M11" s="5">
        <v>11</v>
      </c>
    </row>
    <row r="12" ht="28" spans="1:13">
      <c r="A12" s="5"/>
      <c r="B12" s="5" t="s">
        <v>48</v>
      </c>
      <c r="C12" s="6" t="str">
        <f>VLOOKUP(B12,AI项目集!$C$2:$D$189,2,0)</f>
        <v>GYL003</v>
      </c>
      <c r="D12" s="5" t="s">
        <v>19</v>
      </c>
      <c r="E12" s="5">
        <v>12</v>
      </c>
      <c r="F12" s="5">
        <v>14</v>
      </c>
      <c r="G12" s="5">
        <v>15</v>
      </c>
      <c r="H12" s="5">
        <v>15</v>
      </c>
      <c r="I12" s="5">
        <v>14</v>
      </c>
      <c r="J12" s="5">
        <v>13</v>
      </c>
      <c r="K12" s="5">
        <v>83</v>
      </c>
      <c r="L12" s="5" t="s">
        <v>51</v>
      </c>
      <c r="M12" s="5">
        <v>11</v>
      </c>
    </row>
    <row r="13" ht="28" spans="1:13">
      <c r="A13" s="5"/>
      <c r="B13" s="5" t="s">
        <v>938</v>
      </c>
      <c r="C13" s="6" t="str">
        <f>VLOOKUP(B13,AI项目集!$C$2:$D$189,2,0)</f>
        <v>YY131</v>
      </c>
      <c r="D13" s="5" t="s">
        <v>699</v>
      </c>
      <c r="E13" s="5">
        <v>10</v>
      </c>
      <c r="F13" s="5">
        <v>14</v>
      </c>
      <c r="G13" s="5">
        <v>15</v>
      </c>
      <c r="H13" s="5">
        <v>12</v>
      </c>
      <c r="I13" s="5">
        <v>16</v>
      </c>
      <c r="J13" s="5">
        <v>16</v>
      </c>
      <c r="K13" s="5">
        <v>83</v>
      </c>
      <c r="L13" s="5" t="s">
        <v>51</v>
      </c>
      <c r="M13" s="5">
        <v>8</v>
      </c>
    </row>
    <row r="14" ht="28" spans="1:13">
      <c r="A14" s="5"/>
      <c r="B14" s="5" t="s">
        <v>1160</v>
      </c>
      <c r="C14" s="6" t="e">
        <f>VLOOKUP(B14,AI项目集!$C$2:$D$189,2,0)</f>
        <v>#N/A</v>
      </c>
      <c r="D14" s="5" t="s">
        <v>699</v>
      </c>
      <c r="E14" s="5">
        <v>10</v>
      </c>
      <c r="F14" s="5">
        <v>14</v>
      </c>
      <c r="G14" s="5">
        <v>15</v>
      </c>
      <c r="H14" s="5">
        <v>12</v>
      </c>
      <c r="I14" s="5">
        <v>16</v>
      </c>
      <c r="J14" s="5">
        <v>15</v>
      </c>
      <c r="K14" s="5">
        <v>82</v>
      </c>
      <c r="L14" s="5" t="s">
        <v>51</v>
      </c>
      <c r="M14" s="5">
        <v>9</v>
      </c>
    </row>
    <row r="15" ht="28" spans="1:13">
      <c r="A15" s="5"/>
      <c r="B15" s="5" t="s">
        <v>873</v>
      </c>
      <c r="C15" s="6" t="str">
        <f>VLOOKUP(B15,AI项目集!$C$2:$D$189,2,0)</f>
        <v>YY023</v>
      </c>
      <c r="D15" s="5" t="s">
        <v>699</v>
      </c>
      <c r="E15" s="5">
        <v>15</v>
      </c>
      <c r="F15" s="5">
        <v>15</v>
      </c>
      <c r="G15" s="5">
        <v>15</v>
      </c>
      <c r="H15" s="5">
        <v>12</v>
      </c>
      <c r="I15" s="5">
        <v>13</v>
      </c>
      <c r="J15" s="5">
        <v>12</v>
      </c>
      <c r="K15" s="5">
        <v>82</v>
      </c>
      <c r="L15" s="5" t="s">
        <v>51</v>
      </c>
      <c r="M15" s="5">
        <v>11</v>
      </c>
    </row>
    <row r="16" ht="28" spans="1:13">
      <c r="A16" s="5"/>
      <c r="B16" s="5" t="s">
        <v>1161</v>
      </c>
      <c r="C16" s="6" t="e">
        <f>VLOOKUP(B16,AI项目集!$C$2:$D$189,2,0)</f>
        <v>#N/A</v>
      </c>
      <c r="D16" s="5" t="s">
        <v>699</v>
      </c>
      <c r="E16" s="5">
        <v>15</v>
      </c>
      <c r="F16" s="5">
        <v>15</v>
      </c>
      <c r="G16" s="5">
        <v>10</v>
      </c>
      <c r="H16" s="5">
        <v>15</v>
      </c>
      <c r="I16" s="5">
        <v>14</v>
      </c>
      <c r="J16" s="5">
        <v>13</v>
      </c>
      <c r="K16" s="5">
        <v>82</v>
      </c>
      <c r="L16" s="5" t="s">
        <v>51</v>
      </c>
      <c r="M16" s="5">
        <v>10</v>
      </c>
    </row>
    <row r="17" ht="28" spans="1:13">
      <c r="A17" s="5"/>
      <c r="B17" s="5" t="s">
        <v>963</v>
      </c>
      <c r="C17" s="6" t="str">
        <f>VLOOKUP(B17,AI项目集!$C$2:$D$189,2,0)</f>
        <v>YY134</v>
      </c>
      <c r="D17" s="5" t="s">
        <v>699</v>
      </c>
      <c r="E17" s="5">
        <v>10</v>
      </c>
      <c r="F17" s="5">
        <v>14</v>
      </c>
      <c r="G17" s="5">
        <v>15</v>
      </c>
      <c r="H17" s="5">
        <v>12</v>
      </c>
      <c r="I17" s="5">
        <v>16</v>
      </c>
      <c r="J17" s="5">
        <v>15</v>
      </c>
      <c r="K17" s="5">
        <v>82</v>
      </c>
      <c r="L17" s="5" t="s">
        <v>51</v>
      </c>
      <c r="M17" s="5">
        <v>5</v>
      </c>
    </row>
    <row r="18" ht="28" spans="1:13">
      <c r="A18" s="5"/>
      <c r="B18" s="5" t="s">
        <v>248</v>
      </c>
      <c r="C18" s="6" t="str">
        <f>VLOOKUP(B18,AI项目集!$C$2:$D$189,2,0)</f>
        <v>GYL025</v>
      </c>
      <c r="D18" s="5" t="s">
        <v>19</v>
      </c>
      <c r="E18" s="5">
        <v>12</v>
      </c>
      <c r="F18" s="5">
        <v>15</v>
      </c>
      <c r="G18" s="5">
        <v>15</v>
      </c>
      <c r="H18" s="5">
        <v>12</v>
      </c>
      <c r="I18" s="5">
        <v>14</v>
      </c>
      <c r="J18" s="5">
        <v>13</v>
      </c>
      <c r="K18" s="5">
        <v>81</v>
      </c>
      <c r="L18" s="5" t="s">
        <v>51</v>
      </c>
      <c r="M18" s="5">
        <v>10</v>
      </c>
    </row>
    <row r="19" ht="28" spans="1:13">
      <c r="A19" s="5"/>
      <c r="B19" s="5" t="s">
        <v>658</v>
      </c>
      <c r="C19" s="6" t="str">
        <f>VLOOKUP(B19,AI项目集!$C$2:$D$189,2,0)</f>
        <v>LS125</v>
      </c>
      <c r="D19" s="5" t="s">
        <v>473</v>
      </c>
      <c r="E19" s="5">
        <v>12</v>
      </c>
      <c r="F19" s="5">
        <v>15</v>
      </c>
      <c r="G19" s="5">
        <v>15</v>
      </c>
      <c r="H19" s="5">
        <v>12</v>
      </c>
      <c r="I19" s="5">
        <v>14</v>
      </c>
      <c r="J19" s="5">
        <v>13</v>
      </c>
      <c r="K19" s="5">
        <v>81</v>
      </c>
      <c r="L19" s="5" t="s">
        <v>51</v>
      </c>
      <c r="M19" s="5">
        <v>10</v>
      </c>
    </row>
    <row r="20" ht="28" spans="1:13">
      <c r="A20" s="5"/>
      <c r="B20" s="5" t="s">
        <v>709</v>
      </c>
      <c r="C20" s="6" t="str">
        <f>VLOOKUP(B20,AI项目集!$C$2:$D$189,2,0)</f>
        <v>YY102</v>
      </c>
      <c r="D20" s="5" t="s">
        <v>699</v>
      </c>
      <c r="E20" s="5">
        <v>15</v>
      </c>
      <c r="F20" s="5">
        <v>14</v>
      </c>
      <c r="G20" s="5">
        <v>10</v>
      </c>
      <c r="H20" s="5">
        <v>15</v>
      </c>
      <c r="I20" s="5">
        <v>14</v>
      </c>
      <c r="J20" s="5">
        <v>13</v>
      </c>
      <c r="K20" s="5">
        <v>81</v>
      </c>
      <c r="L20" s="5" t="s">
        <v>51</v>
      </c>
      <c r="M20" s="5">
        <v>10</v>
      </c>
    </row>
    <row r="21" ht="28" spans="1:13">
      <c r="A21" s="5"/>
      <c r="B21" s="5" t="s">
        <v>726</v>
      </c>
      <c r="C21" s="6" t="str">
        <f>VLOOKUP(B21,AI项目集!$C$2:$D$189,2,0)</f>
        <v>YY104</v>
      </c>
      <c r="D21" s="5" t="s">
        <v>699</v>
      </c>
      <c r="E21" s="5">
        <v>12</v>
      </c>
      <c r="F21" s="5">
        <v>15</v>
      </c>
      <c r="G21" s="5">
        <v>15</v>
      </c>
      <c r="H21" s="5">
        <v>12</v>
      </c>
      <c r="I21" s="5">
        <v>14</v>
      </c>
      <c r="J21" s="5">
        <v>13</v>
      </c>
      <c r="K21" s="5">
        <v>81</v>
      </c>
      <c r="L21" s="5" t="s">
        <v>51</v>
      </c>
      <c r="M21" s="5">
        <v>10</v>
      </c>
    </row>
    <row r="22" ht="28" spans="1:13">
      <c r="A22" s="5"/>
      <c r="B22" s="5" t="s">
        <v>785</v>
      </c>
      <c r="C22" s="6" t="str">
        <f>VLOOKUP(B22,AI项目集!$C$2:$D$189,2,0)</f>
        <v>YY012</v>
      </c>
      <c r="D22" s="5" t="s">
        <v>699</v>
      </c>
      <c r="E22" s="5">
        <v>12</v>
      </c>
      <c r="F22" s="5">
        <v>12</v>
      </c>
      <c r="G22" s="5">
        <v>10</v>
      </c>
      <c r="H22" s="5">
        <v>15</v>
      </c>
      <c r="I22" s="5">
        <v>16</v>
      </c>
      <c r="J22" s="5">
        <v>16</v>
      </c>
      <c r="K22" s="5">
        <v>81</v>
      </c>
      <c r="L22" s="5" t="s">
        <v>51</v>
      </c>
      <c r="M22" s="5">
        <v>8</v>
      </c>
    </row>
    <row r="23" ht="28" spans="1:13">
      <c r="A23" s="5"/>
      <c r="B23" s="5" t="s">
        <v>914</v>
      </c>
      <c r="C23" s="6" t="str">
        <f>VLOOKUP(B23,AI项目集!$C$2:$D$189,2,0)</f>
        <v>YY128</v>
      </c>
      <c r="D23" s="5" t="s">
        <v>699</v>
      </c>
      <c r="E23" s="5">
        <v>12</v>
      </c>
      <c r="F23" s="5">
        <v>15</v>
      </c>
      <c r="G23" s="5">
        <v>15</v>
      </c>
      <c r="H23" s="5">
        <v>12</v>
      </c>
      <c r="I23" s="5">
        <v>14</v>
      </c>
      <c r="J23" s="5">
        <v>13</v>
      </c>
      <c r="K23" s="5">
        <v>81</v>
      </c>
      <c r="L23" s="5" t="s">
        <v>51</v>
      </c>
      <c r="M23" s="5">
        <v>10</v>
      </c>
    </row>
    <row r="24" ht="28" spans="1:13">
      <c r="A24" s="5"/>
      <c r="B24" s="5" t="s">
        <v>154</v>
      </c>
      <c r="C24" s="6" t="str">
        <f>VLOOKUP(B24,AI项目集!$C$2:$D$189,2,0)</f>
        <v>GYL014</v>
      </c>
      <c r="D24" s="5" t="s">
        <v>19</v>
      </c>
      <c r="E24" s="5">
        <v>12</v>
      </c>
      <c r="F24" s="5">
        <v>15</v>
      </c>
      <c r="G24" s="5">
        <v>15</v>
      </c>
      <c r="H24" s="5">
        <v>12</v>
      </c>
      <c r="I24" s="5">
        <v>13</v>
      </c>
      <c r="J24" s="5">
        <v>12</v>
      </c>
      <c r="K24" s="5">
        <v>79</v>
      </c>
      <c r="L24" s="5" t="s">
        <v>103</v>
      </c>
      <c r="M24" s="5">
        <v>11</v>
      </c>
    </row>
    <row r="25" ht="28" spans="1:13">
      <c r="A25" s="5"/>
      <c r="B25" s="5" t="s">
        <v>240</v>
      </c>
      <c r="C25" s="6" t="str">
        <f>VLOOKUP(B25,AI项目集!$C$2:$D$189,2,0)</f>
        <v>GYL024</v>
      </c>
      <c r="D25" s="5" t="s">
        <v>19</v>
      </c>
      <c r="E25" s="5">
        <v>12</v>
      </c>
      <c r="F25" s="5">
        <v>14</v>
      </c>
      <c r="G25" s="5">
        <v>15</v>
      </c>
      <c r="H25" s="5">
        <v>12</v>
      </c>
      <c r="I25" s="5">
        <v>13</v>
      </c>
      <c r="J25" s="5">
        <v>12</v>
      </c>
      <c r="K25" s="5">
        <v>78</v>
      </c>
      <c r="L25" s="5" t="s">
        <v>103</v>
      </c>
      <c r="M25" s="5">
        <v>11</v>
      </c>
    </row>
    <row r="26" ht="28" spans="1:13">
      <c r="A26" s="5"/>
      <c r="B26" s="5" t="s">
        <v>319</v>
      </c>
      <c r="C26" s="6" t="str">
        <f>VLOOKUP(B26,AI项目集!$C$2:$D$189,2,0)</f>
        <v>WL001</v>
      </c>
      <c r="D26" s="5" t="s">
        <v>318</v>
      </c>
      <c r="E26" s="5">
        <v>12</v>
      </c>
      <c r="F26" s="5">
        <v>14</v>
      </c>
      <c r="G26" s="5">
        <v>15</v>
      </c>
      <c r="H26" s="5">
        <v>12</v>
      </c>
      <c r="I26" s="5">
        <v>13</v>
      </c>
      <c r="J26" s="5">
        <v>12</v>
      </c>
      <c r="K26" s="5">
        <v>78</v>
      </c>
      <c r="L26" s="5" t="s">
        <v>103</v>
      </c>
      <c r="M26" s="5">
        <v>11</v>
      </c>
    </row>
    <row r="27" ht="28" spans="1:13">
      <c r="A27" s="5"/>
      <c r="B27" s="5" t="s">
        <v>337</v>
      </c>
      <c r="C27" s="6" t="str">
        <f>VLOOKUP(B27,AI项目集!$C$2:$D$189,2,0)</f>
        <v>WL003</v>
      </c>
      <c r="D27" s="5" t="s">
        <v>318</v>
      </c>
      <c r="E27" s="5">
        <v>12</v>
      </c>
      <c r="F27" s="5">
        <v>14</v>
      </c>
      <c r="G27" s="5">
        <v>15</v>
      </c>
      <c r="H27" s="5">
        <v>12</v>
      </c>
      <c r="I27" s="5">
        <v>13</v>
      </c>
      <c r="J27" s="5">
        <v>12</v>
      </c>
      <c r="K27" s="5">
        <v>78</v>
      </c>
      <c r="L27" s="5" t="s">
        <v>103</v>
      </c>
      <c r="M27" s="5">
        <v>11</v>
      </c>
    </row>
    <row r="28" ht="28" spans="1:13">
      <c r="A28" s="5"/>
      <c r="B28" s="5" t="s">
        <v>1162</v>
      </c>
      <c r="C28" s="6" t="str">
        <f>VLOOKUP(B28,AI项目集!$C$2:$D$189,2,0)</f>
        <v>WL006</v>
      </c>
      <c r="D28" s="5" t="s">
        <v>318</v>
      </c>
      <c r="E28" s="5">
        <v>12</v>
      </c>
      <c r="F28" s="5">
        <v>14</v>
      </c>
      <c r="G28" s="5">
        <v>15</v>
      </c>
      <c r="H28" s="5">
        <v>12</v>
      </c>
      <c r="I28" s="5">
        <v>13</v>
      </c>
      <c r="J28" s="5">
        <v>12</v>
      </c>
      <c r="K28" s="5">
        <v>78</v>
      </c>
      <c r="L28" s="5" t="s">
        <v>103</v>
      </c>
      <c r="M28" s="5">
        <v>11</v>
      </c>
    </row>
    <row r="29" ht="28" spans="1:13">
      <c r="A29" s="5"/>
      <c r="B29" s="5" t="s">
        <v>764</v>
      </c>
      <c r="C29" s="6" t="str">
        <f>VLOOKUP(B29,AI项目集!$C$2:$D$189,2,0)</f>
        <v>YY009</v>
      </c>
      <c r="D29" s="5" t="s">
        <v>699</v>
      </c>
      <c r="E29" s="5">
        <v>10</v>
      </c>
      <c r="F29" s="5">
        <v>14</v>
      </c>
      <c r="G29" s="5">
        <v>15</v>
      </c>
      <c r="H29" s="5">
        <v>12</v>
      </c>
      <c r="I29" s="5">
        <v>14</v>
      </c>
      <c r="J29" s="5">
        <v>13</v>
      </c>
      <c r="K29" s="5">
        <v>78</v>
      </c>
      <c r="L29" s="5" t="s">
        <v>103</v>
      </c>
      <c r="M29" s="5">
        <v>10</v>
      </c>
    </row>
    <row r="30" ht="28" spans="1:13">
      <c r="A30" s="5"/>
      <c r="B30" s="5" t="s">
        <v>99</v>
      </c>
      <c r="C30" s="6" t="str">
        <f>VLOOKUP(B30,AI项目集!$C$2:$D$189,2,0)</f>
        <v>GYL008</v>
      </c>
      <c r="D30" s="5" t="s">
        <v>19</v>
      </c>
      <c r="E30" s="5">
        <v>12</v>
      </c>
      <c r="F30" s="5">
        <v>13</v>
      </c>
      <c r="G30" s="5">
        <v>15</v>
      </c>
      <c r="H30" s="5">
        <v>12</v>
      </c>
      <c r="I30" s="5">
        <v>13</v>
      </c>
      <c r="J30" s="5">
        <v>12</v>
      </c>
      <c r="K30" s="5">
        <v>77</v>
      </c>
      <c r="L30" s="5" t="s">
        <v>103</v>
      </c>
      <c r="M30" s="5">
        <v>11</v>
      </c>
    </row>
    <row r="31" ht="28" spans="1:13">
      <c r="A31" s="5"/>
      <c r="B31" s="5" t="s">
        <v>169</v>
      </c>
      <c r="C31" s="6" t="str">
        <f>VLOOKUP(B31,AI项目集!$C$2:$D$189,2,0)</f>
        <v>GYL016</v>
      </c>
      <c r="D31" s="5" t="s">
        <v>19</v>
      </c>
      <c r="E31" s="5">
        <v>10</v>
      </c>
      <c r="F31" s="5">
        <v>13</v>
      </c>
      <c r="G31" s="5">
        <v>15</v>
      </c>
      <c r="H31" s="5">
        <v>12</v>
      </c>
      <c r="I31" s="5">
        <v>14</v>
      </c>
      <c r="J31" s="5">
        <v>13</v>
      </c>
      <c r="K31" s="5">
        <v>77</v>
      </c>
      <c r="L31" s="5" t="s">
        <v>59</v>
      </c>
      <c r="M31" s="5">
        <v>10</v>
      </c>
    </row>
    <row r="32" ht="28" spans="1:13">
      <c r="A32" s="5"/>
      <c r="B32" s="5" t="s">
        <v>386</v>
      </c>
      <c r="C32" s="6" t="str">
        <f>VLOOKUP(B32,AI项目集!$C$2:$D$189,2,0)</f>
        <v>WL009</v>
      </c>
      <c r="D32" s="5" t="s">
        <v>318</v>
      </c>
      <c r="E32" s="5">
        <v>10</v>
      </c>
      <c r="F32" s="5">
        <v>13</v>
      </c>
      <c r="G32" s="5">
        <v>15</v>
      </c>
      <c r="H32" s="5">
        <v>12</v>
      </c>
      <c r="I32" s="5">
        <v>14</v>
      </c>
      <c r="J32" s="5">
        <v>13</v>
      </c>
      <c r="K32" s="5">
        <v>77</v>
      </c>
      <c r="L32" s="5" t="s">
        <v>59</v>
      </c>
      <c r="M32" s="5">
        <v>10</v>
      </c>
    </row>
    <row r="33" ht="28" spans="1:13">
      <c r="A33" s="5"/>
      <c r="B33" s="5" t="s">
        <v>700</v>
      </c>
      <c r="C33" s="6" t="str">
        <f>VLOOKUP(B33,AI项目集!$C$2:$D$189,2,0)</f>
        <v>YY101</v>
      </c>
      <c r="D33" s="5" t="s">
        <v>699</v>
      </c>
      <c r="E33" s="5">
        <v>8</v>
      </c>
      <c r="F33" s="5">
        <v>12</v>
      </c>
      <c r="G33" s="5">
        <v>10</v>
      </c>
      <c r="H33" s="5">
        <v>10</v>
      </c>
      <c r="I33" s="5">
        <v>18</v>
      </c>
      <c r="J33" s="5">
        <v>18</v>
      </c>
      <c r="K33" s="5">
        <v>76</v>
      </c>
      <c r="L33" s="5" t="s">
        <v>59</v>
      </c>
      <c r="M33" s="5">
        <v>6</v>
      </c>
    </row>
    <row r="34" ht="28" spans="1:13">
      <c r="A34" s="5"/>
      <c r="B34" s="5" t="s">
        <v>922</v>
      </c>
      <c r="C34" s="6" t="str">
        <f>VLOOKUP(B34,AI项目集!$C$2:$D$189,2,0)</f>
        <v>YY029</v>
      </c>
      <c r="D34" s="5" t="s">
        <v>699</v>
      </c>
      <c r="E34" s="5">
        <v>10</v>
      </c>
      <c r="F34" s="5">
        <v>14</v>
      </c>
      <c r="G34" s="5">
        <v>15</v>
      </c>
      <c r="H34" s="5">
        <v>12</v>
      </c>
      <c r="I34" s="5">
        <v>13</v>
      </c>
      <c r="J34" s="5">
        <v>12</v>
      </c>
      <c r="K34" s="5">
        <v>76</v>
      </c>
      <c r="L34" s="5" t="s">
        <v>59</v>
      </c>
      <c r="M34" s="5">
        <v>11</v>
      </c>
    </row>
    <row r="35" ht="28" spans="1:13">
      <c r="A35" s="5"/>
      <c r="B35" s="5" t="s">
        <v>56</v>
      </c>
      <c r="C35" s="6" t="str">
        <f>VLOOKUP(B35,AI项目集!$C$2:$D$189,2,0)</f>
        <v>GYL004</v>
      </c>
      <c r="D35" s="5" t="s">
        <v>19</v>
      </c>
      <c r="E35" s="5">
        <v>10</v>
      </c>
      <c r="F35" s="5">
        <v>13</v>
      </c>
      <c r="G35" s="5">
        <v>15</v>
      </c>
      <c r="H35" s="5">
        <v>10</v>
      </c>
      <c r="I35" s="5">
        <v>14</v>
      </c>
      <c r="J35" s="5">
        <v>13</v>
      </c>
      <c r="K35" s="5">
        <v>75</v>
      </c>
      <c r="L35" s="5" t="s">
        <v>59</v>
      </c>
      <c r="M35" s="5">
        <v>10</v>
      </c>
    </row>
    <row r="36" ht="28" spans="1:13">
      <c r="A36" s="5"/>
      <c r="B36" s="5" t="s">
        <v>145</v>
      </c>
      <c r="C36" s="6" t="str">
        <f>VLOOKUP(B36,AI项目集!$C$2:$D$189,2,0)</f>
        <v>GYL013</v>
      </c>
      <c r="D36" s="5" t="s">
        <v>19</v>
      </c>
      <c r="E36" s="5">
        <v>10</v>
      </c>
      <c r="F36" s="5">
        <v>13</v>
      </c>
      <c r="G36" s="5">
        <v>15</v>
      </c>
      <c r="H36" s="5">
        <v>10</v>
      </c>
      <c r="I36" s="5">
        <v>14</v>
      </c>
      <c r="J36" s="5">
        <v>13</v>
      </c>
      <c r="K36" s="5">
        <v>75</v>
      </c>
      <c r="L36" s="5" t="s">
        <v>59</v>
      </c>
      <c r="M36" s="5">
        <v>10</v>
      </c>
    </row>
    <row r="37" ht="28" spans="1:13">
      <c r="A37" s="5"/>
      <c r="B37" s="5" t="s">
        <v>353</v>
      </c>
      <c r="C37" s="6" t="str">
        <f>VLOOKUP(B37,AI项目集!$C$2:$D$189,2,0)</f>
        <v>WL005</v>
      </c>
      <c r="D37" s="5" t="s">
        <v>318</v>
      </c>
      <c r="E37" s="5">
        <v>10</v>
      </c>
      <c r="F37" s="5">
        <v>13</v>
      </c>
      <c r="G37" s="5">
        <v>15</v>
      </c>
      <c r="H37" s="5">
        <v>12</v>
      </c>
      <c r="I37" s="5">
        <v>13</v>
      </c>
      <c r="J37" s="5">
        <v>12</v>
      </c>
      <c r="K37" s="5">
        <v>75</v>
      </c>
      <c r="L37" s="5" t="s">
        <v>59</v>
      </c>
      <c r="M37" s="5">
        <v>11</v>
      </c>
    </row>
    <row r="38" ht="28" spans="1:13">
      <c r="A38" s="5"/>
      <c r="B38" s="5" t="s">
        <v>410</v>
      </c>
      <c r="C38" s="6" t="str">
        <f>VLOOKUP(B38,AI项目集!$C$2:$D$189,2,0)</f>
        <v>WL012</v>
      </c>
      <c r="D38" s="5" t="s">
        <v>318</v>
      </c>
      <c r="E38" s="5">
        <v>10</v>
      </c>
      <c r="F38" s="5">
        <v>13</v>
      </c>
      <c r="G38" s="5">
        <v>15</v>
      </c>
      <c r="H38" s="5">
        <v>12</v>
      </c>
      <c r="I38" s="5">
        <v>13</v>
      </c>
      <c r="J38" s="5">
        <v>12</v>
      </c>
      <c r="K38" s="5">
        <v>75</v>
      </c>
      <c r="L38" s="5" t="s">
        <v>59</v>
      </c>
      <c r="M38" s="5">
        <v>11</v>
      </c>
    </row>
    <row r="39" ht="28" spans="1:13">
      <c r="A39" s="5"/>
      <c r="B39" s="5" t="s">
        <v>1163</v>
      </c>
      <c r="C39" s="6" t="e">
        <f>VLOOKUP(B39,AI项目集!$C$2:$D$189,2,0)</f>
        <v>#N/A</v>
      </c>
      <c r="D39" s="5" t="s">
        <v>318</v>
      </c>
      <c r="E39" s="5">
        <v>10</v>
      </c>
      <c r="F39" s="5">
        <v>13</v>
      </c>
      <c r="G39" s="5">
        <v>15</v>
      </c>
      <c r="H39" s="5">
        <v>12</v>
      </c>
      <c r="I39" s="5">
        <v>13</v>
      </c>
      <c r="J39" s="5">
        <v>12</v>
      </c>
      <c r="K39" s="5">
        <v>75</v>
      </c>
      <c r="L39" s="5" t="s">
        <v>59</v>
      </c>
      <c r="M39" s="5">
        <v>11</v>
      </c>
    </row>
    <row r="40" ht="28" spans="1:13">
      <c r="A40" s="5"/>
      <c r="B40" s="5" t="s">
        <v>824</v>
      </c>
      <c r="C40" s="6" t="str">
        <f>VLOOKUP(B40,AI项目集!$C$2:$D$189,2,0)</f>
        <v>YY017</v>
      </c>
      <c r="D40" s="5" t="s">
        <v>699</v>
      </c>
      <c r="E40" s="5">
        <v>10</v>
      </c>
      <c r="F40" s="5">
        <v>13</v>
      </c>
      <c r="G40" s="5">
        <v>15</v>
      </c>
      <c r="H40" s="5">
        <v>12</v>
      </c>
      <c r="I40" s="5">
        <v>13</v>
      </c>
      <c r="J40" s="5">
        <v>12</v>
      </c>
      <c r="K40" s="5">
        <v>75</v>
      </c>
      <c r="L40" s="5" t="s">
        <v>59</v>
      </c>
      <c r="M40" s="5">
        <v>11</v>
      </c>
    </row>
    <row r="41" ht="28" spans="1:13">
      <c r="A41" s="5"/>
      <c r="B41" s="5" t="s">
        <v>596</v>
      </c>
      <c r="C41" s="6" t="str">
        <f>VLOOKUP(B41,AI项目集!$C$2:$D$189,2,0)</f>
        <v>LS017</v>
      </c>
      <c r="D41" s="5" t="s">
        <v>473</v>
      </c>
      <c r="E41" s="5">
        <v>12</v>
      </c>
      <c r="F41" s="5">
        <v>15</v>
      </c>
      <c r="G41" s="5">
        <v>10</v>
      </c>
      <c r="H41" s="5">
        <v>12</v>
      </c>
      <c r="I41" s="5">
        <v>13</v>
      </c>
      <c r="J41" s="5">
        <v>12</v>
      </c>
      <c r="K41" s="5">
        <v>74</v>
      </c>
      <c r="L41" s="5" t="s">
        <v>59</v>
      </c>
      <c r="M41" s="5">
        <v>11</v>
      </c>
    </row>
    <row r="42" ht="28" spans="1:13">
      <c r="A42" s="5"/>
      <c r="B42" s="5" t="s">
        <v>1000</v>
      </c>
      <c r="C42" s="6" t="str">
        <f>VLOOKUP(B42,AI项目集!$C$2:$D$189,2,0)</f>
        <v>YY138</v>
      </c>
      <c r="D42" s="5" t="s">
        <v>699</v>
      </c>
      <c r="E42" s="5">
        <v>10</v>
      </c>
      <c r="F42" s="5">
        <v>10</v>
      </c>
      <c r="G42" s="5">
        <v>10</v>
      </c>
      <c r="H42" s="5">
        <v>12</v>
      </c>
      <c r="I42" s="5">
        <v>16</v>
      </c>
      <c r="J42" s="5">
        <v>16</v>
      </c>
      <c r="K42" s="5">
        <v>74</v>
      </c>
      <c r="L42" s="5" t="s">
        <v>92</v>
      </c>
      <c r="M42" s="5">
        <v>4</v>
      </c>
    </row>
    <row r="43" ht="28" spans="1:13">
      <c r="A43" s="5"/>
      <c r="B43" s="5" t="s">
        <v>1164</v>
      </c>
      <c r="C43" s="6" t="e">
        <f>VLOOKUP(B43,AI项目集!$C$2:$D$189,2,0)</f>
        <v>#N/A</v>
      </c>
      <c r="D43" s="5" t="s">
        <v>19</v>
      </c>
      <c r="E43" s="5">
        <v>8</v>
      </c>
      <c r="F43" s="5">
        <v>12</v>
      </c>
      <c r="G43" s="5">
        <v>10</v>
      </c>
      <c r="H43" s="5">
        <v>10</v>
      </c>
      <c r="I43" s="5">
        <v>16</v>
      </c>
      <c r="J43" s="5">
        <v>16</v>
      </c>
      <c r="K43" s="5">
        <v>72</v>
      </c>
      <c r="L43" s="5" t="s">
        <v>81</v>
      </c>
      <c r="M43" s="5">
        <v>8</v>
      </c>
    </row>
    <row r="44" ht="28" spans="1:13">
      <c r="A44" s="5"/>
      <c r="B44" s="5" t="s">
        <v>78</v>
      </c>
      <c r="C44" s="6" t="str">
        <f>VLOOKUP(B44,AI项目集!$C$2:$D$189,2,0)</f>
        <v>GYL006</v>
      </c>
      <c r="D44" s="5" t="s">
        <v>19</v>
      </c>
      <c r="E44" s="5">
        <v>8</v>
      </c>
      <c r="F44" s="5">
        <v>12</v>
      </c>
      <c r="G44" s="5">
        <v>10</v>
      </c>
      <c r="H44" s="5">
        <v>10</v>
      </c>
      <c r="I44" s="5">
        <v>16</v>
      </c>
      <c r="J44" s="5">
        <v>16</v>
      </c>
      <c r="K44" s="5">
        <v>72</v>
      </c>
      <c r="L44" s="5" t="s">
        <v>81</v>
      </c>
      <c r="M44" s="5">
        <v>8</v>
      </c>
    </row>
    <row r="45" ht="28" spans="1:13">
      <c r="A45" s="5"/>
      <c r="B45" s="5" t="s">
        <v>161</v>
      </c>
      <c r="C45" s="6" t="str">
        <f>VLOOKUP(B45,AI项目集!$C$2:$D$189,2,0)</f>
        <v>GYL115</v>
      </c>
      <c r="D45" s="5" t="s">
        <v>19</v>
      </c>
      <c r="E45" s="5">
        <v>8</v>
      </c>
      <c r="F45" s="5">
        <v>12</v>
      </c>
      <c r="G45" s="5">
        <v>10</v>
      </c>
      <c r="H45" s="5">
        <v>10</v>
      </c>
      <c r="I45" s="5">
        <v>16</v>
      </c>
      <c r="J45" s="5">
        <v>16</v>
      </c>
      <c r="K45" s="5">
        <v>72</v>
      </c>
      <c r="L45" s="5" t="s">
        <v>81</v>
      </c>
      <c r="M45" s="5">
        <v>8</v>
      </c>
    </row>
    <row r="46" ht="28" spans="1:13">
      <c r="A46" s="5"/>
      <c r="B46" s="5" t="s">
        <v>196</v>
      </c>
      <c r="C46" s="6" t="str">
        <f>VLOOKUP(B46,AI项目集!$C$2:$D$189,2,0)</f>
        <v>GYL019</v>
      </c>
      <c r="D46" s="5" t="s">
        <v>19</v>
      </c>
      <c r="E46" s="5">
        <v>8</v>
      </c>
      <c r="F46" s="5">
        <v>12</v>
      </c>
      <c r="G46" s="5">
        <v>10</v>
      </c>
      <c r="H46" s="5">
        <v>10</v>
      </c>
      <c r="I46" s="5">
        <v>16</v>
      </c>
      <c r="J46" s="5">
        <v>16</v>
      </c>
      <c r="K46" s="5">
        <v>72</v>
      </c>
      <c r="L46" s="5" t="s">
        <v>81</v>
      </c>
      <c r="M46" s="5">
        <v>8</v>
      </c>
    </row>
    <row r="47" ht="28" spans="1:13">
      <c r="A47" s="5"/>
      <c r="B47" s="5" t="s">
        <v>1165</v>
      </c>
      <c r="C47" s="6" t="e">
        <f>VLOOKUP(B47,AI项目集!$C$2:$D$189,2,0)</f>
        <v>#N/A</v>
      </c>
      <c r="D47" s="5" t="s">
        <v>318</v>
      </c>
      <c r="E47" s="5">
        <v>8</v>
      </c>
      <c r="F47" s="5">
        <v>12</v>
      </c>
      <c r="G47" s="5">
        <v>10</v>
      </c>
      <c r="H47" s="5">
        <v>10</v>
      </c>
      <c r="I47" s="5">
        <v>16</v>
      </c>
      <c r="J47" s="5">
        <v>16</v>
      </c>
      <c r="K47" s="5">
        <v>72</v>
      </c>
      <c r="L47" s="5" t="s">
        <v>81</v>
      </c>
      <c r="M47" s="5">
        <v>8</v>
      </c>
    </row>
    <row r="48" ht="28" spans="1:13">
      <c r="A48" s="5"/>
      <c r="B48" s="5" t="s">
        <v>1166</v>
      </c>
      <c r="C48" s="6" t="e">
        <f>VLOOKUP(B48,AI项目集!$C$2:$D$189,2,0)</f>
        <v>#N/A</v>
      </c>
      <c r="D48" s="5" t="s">
        <v>318</v>
      </c>
      <c r="E48" s="5">
        <v>8</v>
      </c>
      <c r="F48" s="5">
        <v>12</v>
      </c>
      <c r="G48" s="5">
        <v>10</v>
      </c>
      <c r="H48" s="5">
        <v>10</v>
      </c>
      <c r="I48" s="5">
        <v>16</v>
      </c>
      <c r="J48" s="5">
        <v>16</v>
      </c>
      <c r="K48" s="5">
        <v>72</v>
      </c>
      <c r="L48" s="5" t="s">
        <v>81</v>
      </c>
      <c r="M48" s="5">
        <v>8</v>
      </c>
    </row>
    <row r="49" ht="28" spans="1:13">
      <c r="A49" s="5"/>
      <c r="B49" s="5" t="s">
        <v>1167</v>
      </c>
      <c r="C49" s="6" t="e">
        <f>VLOOKUP(B49,AI项目集!$C$2:$D$189,2,0)</f>
        <v>#N/A</v>
      </c>
      <c r="D49" s="5" t="s">
        <v>473</v>
      </c>
      <c r="E49" s="5">
        <v>8</v>
      </c>
      <c r="F49" s="5">
        <v>12</v>
      </c>
      <c r="G49" s="5">
        <v>10</v>
      </c>
      <c r="H49" s="5">
        <v>10</v>
      </c>
      <c r="I49" s="5">
        <v>16</v>
      </c>
      <c r="J49" s="5">
        <v>16</v>
      </c>
      <c r="K49" s="5">
        <v>72</v>
      </c>
      <c r="L49" s="5" t="s">
        <v>81</v>
      </c>
      <c r="M49" s="5">
        <v>8</v>
      </c>
    </row>
    <row r="50" ht="28" spans="1:13">
      <c r="A50" s="5"/>
      <c r="B50" s="5" t="s">
        <v>642</v>
      </c>
      <c r="C50" s="6" t="str">
        <f>VLOOKUP(B50,AI项目集!$C$2:$D$189,2,0)</f>
        <v>LS123</v>
      </c>
      <c r="D50" s="5" t="s">
        <v>473</v>
      </c>
      <c r="E50" s="5">
        <v>8</v>
      </c>
      <c r="F50" s="5">
        <v>12</v>
      </c>
      <c r="G50" s="5">
        <v>10</v>
      </c>
      <c r="H50" s="5">
        <v>10</v>
      </c>
      <c r="I50" s="5">
        <v>16</v>
      </c>
      <c r="J50" s="5">
        <v>16</v>
      </c>
      <c r="K50" s="5">
        <v>72</v>
      </c>
      <c r="L50" s="5" t="s">
        <v>81</v>
      </c>
      <c r="M50" s="5">
        <v>8</v>
      </c>
    </row>
    <row r="51" ht="28" spans="1:13">
      <c r="A51" s="5"/>
      <c r="B51" s="5" t="s">
        <v>1168</v>
      </c>
      <c r="C51" s="6" t="e">
        <f>VLOOKUP(B51,AI项目集!$C$2:$D$189,2,0)</f>
        <v>#N/A</v>
      </c>
      <c r="D51" s="5" t="s">
        <v>699</v>
      </c>
      <c r="E51" s="5">
        <v>8</v>
      </c>
      <c r="F51" s="5">
        <v>10</v>
      </c>
      <c r="G51" s="5">
        <v>10</v>
      </c>
      <c r="H51" s="5">
        <v>10</v>
      </c>
      <c r="I51" s="5">
        <v>16</v>
      </c>
      <c r="J51" s="5">
        <v>16</v>
      </c>
      <c r="K51" s="5">
        <v>72</v>
      </c>
      <c r="L51" s="5" t="s">
        <v>81</v>
      </c>
      <c r="M51" s="5">
        <v>8</v>
      </c>
    </row>
    <row r="52" ht="28" spans="1:13">
      <c r="A52" s="5"/>
      <c r="B52" s="5" t="s">
        <v>905</v>
      </c>
      <c r="C52" s="6" t="str">
        <f>VLOOKUP(B52,AI项目集!$C$2:$D$189,2,0)</f>
        <v>YY127</v>
      </c>
      <c r="D52" s="5" t="s">
        <v>699</v>
      </c>
      <c r="E52" s="5">
        <v>8</v>
      </c>
      <c r="F52" s="5">
        <v>12</v>
      </c>
      <c r="G52" s="5">
        <v>10</v>
      </c>
      <c r="H52" s="5">
        <v>10</v>
      </c>
      <c r="I52" s="5">
        <v>16</v>
      </c>
      <c r="J52" s="5">
        <v>16</v>
      </c>
      <c r="K52" s="5">
        <v>72</v>
      </c>
      <c r="L52" s="5" t="s">
        <v>81</v>
      </c>
      <c r="M52" s="5">
        <v>8</v>
      </c>
    </row>
    <row r="53" spans="1:13">
      <c r="A53" s="5"/>
      <c r="B53" s="5" t="s">
        <v>930</v>
      </c>
      <c r="C53" s="6" t="str">
        <f>VLOOKUP(B53,AI项目集!$C$2:$D$189,2,0)</f>
        <v>YY030</v>
      </c>
      <c r="D53" s="5" t="s">
        <v>699</v>
      </c>
      <c r="E53" s="5">
        <v>8</v>
      </c>
      <c r="F53" s="5">
        <v>12</v>
      </c>
      <c r="G53" s="5">
        <v>10</v>
      </c>
      <c r="H53" s="5">
        <v>10</v>
      </c>
      <c r="I53" s="5">
        <v>16</v>
      </c>
      <c r="J53" s="5">
        <v>16</v>
      </c>
      <c r="K53" s="5">
        <v>72</v>
      </c>
      <c r="L53" s="5" t="s">
        <v>81</v>
      </c>
      <c r="M53" s="5">
        <v>8</v>
      </c>
    </row>
    <row r="54" ht="28" spans="1:13">
      <c r="A54" s="5"/>
      <c r="B54" s="5" t="s">
        <v>448</v>
      </c>
      <c r="C54" s="6" t="str">
        <f>VLOOKUP(B54,AI项目集!$C$2:$D$189,2,0)</f>
        <v>WL117</v>
      </c>
      <c r="D54" s="5" t="s">
        <v>318</v>
      </c>
      <c r="E54" s="5">
        <v>10</v>
      </c>
      <c r="F54" s="5">
        <v>10</v>
      </c>
      <c r="G54" s="5">
        <v>8</v>
      </c>
      <c r="H54" s="5">
        <v>12</v>
      </c>
      <c r="I54" s="5">
        <v>16</v>
      </c>
      <c r="J54" s="5">
        <v>16</v>
      </c>
      <c r="K54" s="5">
        <v>72</v>
      </c>
      <c r="L54" s="5" t="s">
        <v>51</v>
      </c>
      <c r="M54" s="5">
        <v>4</v>
      </c>
    </row>
    <row r="55" ht="28" spans="1:13">
      <c r="A55" s="5"/>
      <c r="B55" s="5" t="s">
        <v>992</v>
      </c>
      <c r="C55" s="6" t="str">
        <f>VLOOKUP(B55,AI项目集!$C$2:$D$189,2,0)</f>
        <v>YY137</v>
      </c>
      <c r="D55" s="5" t="s">
        <v>699</v>
      </c>
      <c r="E55" s="5">
        <v>10</v>
      </c>
      <c r="F55" s="5">
        <v>8</v>
      </c>
      <c r="G55" s="5">
        <v>10</v>
      </c>
      <c r="H55" s="5">
        <v>12</v>
      </c>
      <c r="I55" s="5">
        <v>16</v>
      </c>
      <c r="J55" s="5">
        <v>16</v>
      </c>
      <c r="K55" s="5">
        <v>72</v>
      </c>
      <c r="L55" s="5" t="s">
        <v>51</v>
      </c>
      <c r="M55" s="5">
        <v>4</v>
      </c>
    </row>
    <row r="56" ht="28" spans="1:13">
      <c r="A56" s="5"/>
      <c r="B56" s="5" t="s">
        <v>474</v>
      </c>
      <c r="C56" s="6" t="str">
        <f>VLOOKUP(B56,AI项目集!$C$2:$D$189,2,0)</f>
        <v>LS001</v>
      </c>
      <c r="D56" s="5" t="s">
        <v>473</v>
      </c>
      <c r="E56" s="5">
        <v>10</v>
      </c>
      <c r="F56" s="5">
        <v>14</v>
      </c>
      <c r="G56" s="5">
        <v>10</v>
      </c>
      <c r="H56" s="5">
        <v>12</v>
      </c>
      <c r="I56" s="5">
        <v>13</v>
      </c>
      <c r="J56" s="5">
        <v>12</v>
      </c>
      <c r="K56" s="5">
        <v>71</v>
      </c>
      <c r="L56" s="5" t="s">
        <v>39</v>
      </c>
      <c r="M56" s="5">
        <v>11</v>
      </c>
    </row>
    <row r="57" ht="28" spans="1:13">
      <c r="A57" s="5"/>
      <c r="B57" s="5" t="s">
        <v>515</v>
      </c>
      <c r="C57" s="6" t="str">
        <f>VLOOKUP(B57,AI项目集!$C$2:$D$189,2,0)</f>
        <v>LS006</v>
      </c>
      <c r="D57" s="5" t="s">
        <v>473</v>
      </c>
      <c r="E57" s="5">
        <v>10</v>
      </c>
      <c r="F57" s="5">
        <v>14</v>
      </c>
      <c r="G57" s="5">
        <v>10</v>
      </c>
      <c r="H57" s="5">
        <v>10</v>
      </c>
      <c r="I57" s="5">
        <v>13</v>
      </c>
      <c r="J57" s="5">
        <v>12</v>
      </c>
      <c r="K57" s="5">
        <v>71</v>
      </c>
      <c r="L57" s="5" t="s">
        <v>39</v>
      </c>
      <c r="M57" s="5">
        <v>11</v>
      </c>
    </row>
    <row r="58" ht="28" spans="1:13">
      <c r="A58" s="5"/>
      <c r="B58" s="5" t="s">
        <v>523</v>
      </c>
      <c r="C58" s="6" t="str">
        <f>VLOOKUP(B58,AI项目集!$C$2:$D$189,2,0)</f>
        <v>LS007</v>
      </c>
      <c r="D58" s="5" t="s">
        <v>473</v>
      </c>
      <c r="E58" s="5">
        <v>10</v>
      </c>
      <c r="F58" s="5">
        <v>14</v>
      </c>
      <c r="G58" s="5">
        <v>10</v>
      </c>
      <c r="H58" s="5">
        <v>12</v>
      </c>
      <c r="I58" s="5">
        <v>13</v>
      </c>
      <c r="J58" s="5">
        <v>12</v>
      </c>
      <c r="K58" s="5">
        <v>71</v>
      </c>
      <c r="L58" s="5" t="s">
        <v>39</v>
      </c>
      <c r="M58" s="5">
        <v>11</v>
      </c>
    </row>
    <row r="59" ht="28" spans="1:13">
      <c r="A59" s="5"/>
      <c r="B59" s="5" t="s">
        <v>589</v>
      </c>
      <c r="C59" s="6" t="str">
        <f>VLOOKUP(B59,AI项目集!$C$2:$D$189,2,0)</f>
        <v>LS016</v>
      </c>
      <c r="D59" s="5" t="s">
        <v>473</v>
      </c>
      <c r="E59" s="5">
        <v>10</v>
      </c>
      <c r="F59" s="5">
        <v>14</v>
      </c>
      <c r="G59" s="5">
        <v>10</v>
      </c>
      <c r="H59" s="5">
        <v>10</v>
      </c>
      <c r="I59" s="5">
        <v>13</v>
      </c>
      <c r="J59" s="5">
        <v>12</v>
      </c>
      <c r="K59" s="5">
        <v>71</v>
      </c>
      <c r="L59" s="5" t="s">
        <v>39</v>
      </c>
      <c r="M59" s="5">
        <v>11</v>
      </c>
    </row>
    <row r="60" ht="28" spans="1:13">
      <c r="A60" s="5"/>
      <c r="B60" s="5" t="s">
        <v>635</v>
      </c>
      <c r="C60" s="6" t="str">
        <f>VLOOKUP(B60,AI项目集!$C$2:$D$189,2,0)</f>
        <v>LS022</v>
      </c>
      <c r="D60" s="5" t="s">
        <v>473</v>
      </c>
      <c r="E60" s="5">
        <v>10</v>
      </c>
      <c r="F60" s="5">
        <v>14</v>
      </c>
      <c r="G60" s="5">
        <v>10</v>
      </c>
      <c r="H60" s="5">
        <v>12</v>
      </c>
      <c r="I60" s="5">
        <v>13</v>
      </c>
      <c r="J60" s="5">
        <v>12</v>
      </c>
      <c r="K60" s="5">
        <v>71</v>
      </c>
      <c r="L60" s="5" t="s">
        <v>39</v>
      </c>
      <c r="M60" s="5">
        <v>11</v>
      </c>
    </row>
    <row r="61" ht="28" spans="1:13">
      <c r="A61" s="5"/>
      <c r="B61" s="5" t="s">
        <v>284</v>
      </c>
      <c r="C61" s="6" t="str">
        <f>VLOOKUP(B61,AI项目集!$C$2:$D$189,2,0)</f>
        <v>GYL029</v>
      </c>
      <c r="D61" s="5" t="s">
        <v>699</v>
      </c>
      <c r="E61" s="5">
        <v>12</v>
      </c>
      <c r="F61" s="5">
        <v>10</v>
      </c>
      <c r="G61" s="5">
        <v>12</v>
      </c>
      <c r="H61" s="5">
        <v>11</v>
      </c>
      <c r="I61" s="5">
        <v>14</v>
      </c>
      <c r="J61" s="5">
        <v>12</v>
      </c>
      <c r="K61" s="5">
        <v>71</v>
      </c>
      <c r="L61" s="5" t="s">
        <v>39</v>
      </c>
      <c r="M61" s="5">
        <v>8</v>
      </c>
    </row>
    <row r="62" ht="28" spans="1:13">
      <c r="A62" s="5"/>
      <c r="B62" s="5" t="s">
        <v>1169</v>
      </c>
      <c r="C62" s="6" t="str">
        <f>VLOOKUP(B62,AI项目集!$C$2:$D$189,2,0)</f>
        <v>GYL002</v>
      </c>
      <c r="D62" s="5" t="s">
        <v>19</v>
      </c>
      <c r="E62" s="5">
        <v>10</v>
      </c>
      <c r="F62" s="5">
        <v>12</v>
      </c>
      <c r="G62" s="5">
        <v>15</v>
      </c>
      <c r="H62" s="5">
        <v>15</v>
      </c>
      <c r="I62" s="5">
        <v>14</v>
      </c>
      <c r="J62" s="5">
        <v>14</v>
      </c>
      <c r="K62" s="5">
        <v>70</v>
      </c>
      <c r="L62" s="5" t="s">
        <v>39</v>
      </c>
      <c r="M62" s="5">
        <v>10</v>
      </c>
    </row>
    <row r="63" ht="28" spans="1:13">
      <c r="A63" s="5"/>
      <c r="B63" s="5" t="s">
        <v>128</v>
      </c>
      <c r="C63" s="6" t="str">
        <f>VLOOKUP(B63,AI项目集!$C$2:$D$189,2,0)</f>
        <v>GYL011</v>
      </c>
      <c r="D63" s="5" t="s">
        <v>19</v>
      </c>
      <c r="E63" s="5">
        <v>10</v>
      </c>
      <c r="F63" s="5">
        <v>12</v>
      </c>
      <c r="G63" s="5">
        <v>10</v>
      </c>
      <c r="H63" s="5">
        <v>10</v>
      </c>
      <c r="I63" s="5">
        <v>14</v>
      </c>
      <c r="J63" s="5">
        <v>13</v>
      </c>
      <c r="K63" s="5">
        <v>70</v>
      </c>
      <c r="L63" s="5" t="s">
        <v>39</v>
      </c>
      <c r="M63" s="5">
        <v>10</v>
      </c>
    </row>
    <row r="64" ht="28" spans="1:13">
      <c r="A64" s="5"/>
      <c r="B64" s="5" t="s">
        <v>1170</v>
      </c>
      <c r="C64" s="6" t="e">
        <f>VLOOKUP(B64,AI项目集!$C$2:$D$189,2,0)</f>
        <v>#N/A</v>
      </c>
      <c r="D64" s="5" t="s">
        <v>318</v>
      </c>
      <c r="E64" s="5">
        <v>8</v>
      </c>
      <c r="F64" s="5">
        <v>10</v>
      </c>
      <c r="G64" s="5">
        <v>5</v>
      </c>
      <c r="H64" s="5">
        <v>10</v>
      </c>
      <c r="I64" s="5">
        <v>16</v>
      </c>
      <c r="J64" s="5">
        <v>16</v>
      </c>
      <c r="K64" s="5">
        <v>70</v>
      </c>
      <c r="L64" s="5" t="s">
        <v>39</v>
      </c>
      <c r="M64" s="5">
        <v>8</v>
      </c>
    </row>
    <row r="65" ht="28" spans="1:13">
      <c r="A65" s="5"/>
      <c r="B65" s="5" t="s">
        <v>605</v>
      </c>
      <c r="C65" s="6" t="str">
        <f>VLOOKUP(B65,AI项目集!$C$2:$D$189,2,0)</f>
        <v>LS018</v>
      </c>
      <c r="D65" s="5" t="s">
        <v>473</v>
      </c>
      <c r="E65" s="5">
        <v>10</v>
      </c>
      <c r="F65" s="5">
        <v>12</v>
      </c>
      <c r="G65" s="5">
        <v>10</v>
      </c>
      <c r="H65" s="5">
        <v>10</v>
      </c>
      <c r="I65" s="5">
        <v>14</v>
      </c>
      <c r="J65" s="5">
        <v>13</v>
      </c>
      <c r="K65" s="5">
        <v>70</v>
      </c>
      <c r="L65" s="5" t="s">
        <v>39</v>
      </c>
      <c r="M65" s="5">
        <v>10</v>
      </c>
    </row>
    <row r="66" ht="28" spans="1:13">
      <c r="A66" s="5"/>
      <c r="B66" s="5" t="s">
        <v>856</v>
      </c>
      <c r="C66" s="6" t="str">
        <f>VLOOKUP(B66,AI项目集!$C$2:$D$189,2,0)</f>
        <v>YY021</v>
      </c>
      <c r="D66" s="5" t="s">
        <v>699</v>
      </c>
      <c r="E66" s="5">
        <v>8</v>
      </c>
      <c r="F66" s="5">
        <v>10</v>
      </c>
      <c r="G66" s="5">
        <v>5</v>
      </c>
      <c r="H66" s="5">
        <v>15</v>
      </c>
      <c r="I66" s="5">
        <v>16</v>
      </c>
      <c r="J66" s="5">
        <v>16</v>
      </c>
      <c r="K66" s="5">
        <v>70</v>
      </c>
      <c r="L66" s="5" t="s">
        <v>39</v>
      </c>
      <c r="M66" s="5">
        <v>8</v>
      </c>
    </row>
    <row r="67" ht="28" spans="1:13">
      <c r="A67" s="5"/>
      <c r="B67" s="5" t="s">
        <v>302</v>
      </c>
      <c r="C67" s="6" t="str">
        <f>VLOOKUP(B67,AI项目集!$C$2:$D$189,2,0)</f>
        <v>GYL031</v>
      </c>
      <c r="D67" s="5" t="s">
        <v>19</v>
      </c>
      <c r="E67" s="5">
        <v>12</v>
      </c>
      <c r="F67" s="5">
        <v>12</v>
      </c>
      <c r="G67" s="5">
        <v>12</v>
      </c>
      <c r="H67" s="5">
        <v>10</v>
      </c>
      <c r="I67" s="5">
        <v>12</v>
      </c>
      <c r="J67" s="5">
        <v>12</v>
      </c>
      <c r="K67" s="5">
        <v>70</v>
      </c>
      <c r="L67" s="5" t="s">
        <v>39</v>
      </c>
      <c r="M67" s="5">
        <v>8</v>
      </c>
    </row>
    <row r="68" ht="28" spans="1:13">
      <c r="A68" s="5"/>
      <c r="B68" s="5" t="s">
        <v>465</v>
      </c>
      <c r="C68" s="6" t="str">
        <f>VLOOKUP(B68,AI项目集!$C$2:$D$189,2,0)</f>
        <v>WL119</v>
      </c>
      <c r="D68" s="5" t="s">
        <v>318</v>
      </c>
      <c r="E68" s="5">
        <v>10</v>
      </c>
      <c r="F68" s="5">
        <v>10</v>
      </c>
      <c r="G68" s="5">
        <v>10</v>
      </c>
      <c r="H68" s="5">
        <v>8</v>
      </c>
      <c r="I68" s="5">
        <v>16</v>
      </c>
      <c r="J68" s="5">
        <v>16</v>
      </c>
      <c r="K68" s="5">
        <v>70</v>
      </c>
      <c r="L68" s="5" t="s">
        <v>39</v>
      </c>
      <c r="M68" s="5">
        <v>4</v>
      </c>
    </row>
    <row r="69" ht="28" spans="1:13">
      <c r="A69" s="5"/>
      <c r="B69" s="5" t="s">
        <v>983</v>
      </c>
      <c r="C69" s="6" t="str">
        <f>VLOOKUP(B69,AI项目集!$C$2:$D$189,2,0)</f>
        <v>YY036</v>
      </c>
      <c r="D69" s="5" t="s">
        <v>1171</v>
      </c>
      <c r="E69" s="5">
        <v>12</v>
      </c>
      <c r="F69" s="5">
        <v>12</v>
      </c>
      <c r="G69" s="5">
        <v>12</v>
      </c>
      <c r="H69" s="5">
        <v>8</v>
      </c>
      <c r="I69" s="5">
        <v>14</v>
      </c>
      <c r="J69" s="5">
        <v>12</v>
      </c>
      <c r="K69" s="5">
        <v>70</v>
      </c>
      <c r="L69" s="5" t="s">
        <v>39</v>
      </c>
      <c r="M69" s="5">
        <v>8</v>
      </c>
    </row>
    <row r="70" ht="28" spans="1:13">
      <c r="A70" s="5"/>
      <c r="B70" s="5" t="s">
        <v>231</v>
      </c>
      <c r="C70" s="6" t="str">
        <f>VLOOKUP(B70,AI项目集!$C$2:$D$189,2,0)</f>
        <v>GYL023</v>
      </c>
      <c r="D70" s="5" t="s">
        <v>19</v>
      </c>
      <c r="E70" s="5">
        <v>8</v>
      </c>
      <c r="F70" s="5">
        <v>12</v>
      </c>
      <c r="G70" s="5">
        <v>10</v>
      </c>
      <c r="H70" s="5">
        <v>12</v>
      </c>
      <c r="I70" s="5">
        <v>14</v>
      </c>
      <c r="J70" s="5">
        <v>13</v>
      </c>
      <c r="K70" s="5">
        <v>69</v>
      </c>
      <c r="L70" s="5" t="s">
        <v>182</v>
      </c>
      <c r="M70" s="5">
        <v>12</v>
      </c>
    </row>
    <row r="71" ht="28" spans="1:13">
      <c r="A71" s="5"/>
      <c r="B71" s="5" t="s">
        <v>552</v>
      </c>
      <c r="C71" s="6" t="str">
        <f>VLOOKUP(B71,AI项目集!$C$2:$D$189,2,0)</f>
        <v>LS011</v>
      </c>
      <c r="D71" s="5" t="s">
        <v>473</v>
      </c>
      <c r="E71" s="5">
        <v>8</v>
      </c>
      <c r="F71" s="5">
        <v>13</v>
      </c>
      <c r="G71" s="5">
        <v>10</v>
      </c>
      <c r="H71" s="5">
        <v>10</v>
      </c>
      <c r="I71" s="5">
        <v>14</v>
      </c>
      <c r="J71" s="5">
        <v>14</v>
      </c>
      <c r="K71" s="5">
        <v>69</v>
      </c>
      <c r="L71" s="5" t="s">
        <v>182</v>
      </c>
      <c r="M71" s="5">
        <v>12</v>
      </c>
    </row>
    <row r="72" ht="28" spans="1:13">
      <c r="A72" s="5"/>
      <c r="B72" s="5" t="s">
        <v>674</v>
      </c>
      <c r="C72" s="6" t="str">
        <f>VLOOKUP(B72,AI项目集!$C$2:$D$189,2,0)</f>
        <v>LS027</v>
      </c>
      <c r="D72" s="5" t="s">
        <v>473</v>
      </c>
      <c r="E72" s="5">
        <v>10</v>
      </c>
      <c r="F72" s="5">
        <v>12</v>
      </c>
      <c r="G72" s="5">
        <v>10</v>
      </c>
      <c r="H72" s="5">
        <v>12</v>
      </c>
      <c r="I72" s="5">
        <v>13</v>
      </c>
      <c r="J72" s="5">
        <v>12</v>
      </c>
      <c r="K72" s="5">
        <v>69</v>
      </c>
      <c r="L72" s="5" t="s">
        <v>182</v>
      </c>
      <c r="M72" s="5">
        <v>12</v>
      </c>
    </row>
    <row r="73" spans="1:13">
      <c r="A73" s="5"/>
      <c r="B73" s="5" t="s">
        <v>865</v>
      </c>
      <c r="C73" s="6" t="str">
        <f>VLOOKUP(B73,AI项目集!$C$2:$D$189,2,0)</f>
        <v>YY022</v>
      </c>
      <c r="D73" s="5" t="s">
        <v>699</v>
      </c>
      <c r="E73" s="5">
        <v>6</v>
      </c>
      <c r="F73" s="5">
        <v>10</v>
      </c>
      <c r="G73" s="5">
        <v>5</v>
      </c>
      <c r="H73" s="5">
        <v>10</v>
      </c>
      <c r="I73" s="5">
        <v>16</v>
      </c>
      <c r="J73" s="5">
        <v>16</v>
      </c>
      <c r="K73" s="5">
        <v>69</v>
      </c>
      <c r="L73" s="5" t="s">
        <v>182</v>
      </c>
      <c r="M73" s="5">
        <v>8</v>
      </c>
    </row>
    <row r="74" spans="1:13">
      <c r="A74" s="5"/>
      <c r="B74" s="5" t="s">
        <v>889</v>
      </c>
      <c r="C74" s="6" t="str">
        <f>VLOOKUP(B74,AI项目集!$C$2:$D$189,2,0)</f>
        <v>YY025</v>
      </c>
      <c r="D74" s="5" t="s">
        <v>699</v>
      </c>
      <c r="E74" s="5">
        <v>8</v>
      </c>
      <c r="F74" s="5">
        <v>10</v>
      </c>
      <c r="G74" s="5">
        <v>5</v>
      </c>
      <c r="H74" s="5">
        <v>10</v>
      </c>
      <c r="I74" s="5">
        <v>16</v>
      </c>
      <c r="J74" s="5">
        <v>16</v>
      </c>
      <c r="K74" s="5">
        <v>69</v>
      </c>
      <c r="L74" s="5" t="s">
        <v>182</v>
      </c>
      <c r="M74" s="5">
        <v>8</v>
      </c>
    </row>
    <row r="75" ht="28" spans="1:13">
      <c r="A75" s="5"/>
      <c r="B75" s="5" t="s">
        <v>178</v>
      </c>
      <c r="C75" s="6" t="str">
        <f>VLOOKUP(B75,AI项目集!$C$2:$D$189,2,0)</f>
        <v>GYL017</v>
      </c>
      <c r="D75" s="5" t="s">
        <v>19</v>
      </c>
      <c r="E75" s="5">
        <v>8</v>
      </c>
      <c r="F75" s="5">
        <v>12</v>
      </c>
      <c r="G75" s="5">
        <v>10</v>
      </c>
      <c r="H75" s="5">
        <v>10</v>
      </c>
      <c r="I75" s="5">
        <v>14</v>
      </c>
      <c r="J75" s="5">
        <v>14</v>
      </c>
      <c r="K75" s="5">
        <v>68</v>
      </c>
      <c r="L75" s="5" t="s">
        <v>182</v>
      </c>
      <c r="M75" s="5">
        <v>12</v>
      </c>
    </row>
    <row r="76" ht="28" spans="1:13">
      <c r="A76" s="5"/>
      <c r="B76" s="5" t="s">
        <v>256</v>
      </c>
      <c r="C76" s="6" t="str">
        <f>VLOOKUP(B76,AI项目集!$C$2:$D$189,2,0)</f>
        <v>GYL026</v>
      </c>
      <c r="D76" s="5" t="s">
        <v>19</v>
      </c>
      <c r="E76" s="5">
        <v>10</v>
      </c>
      <c r="F76" s="5">
        <v>13</v>
      </c>
      <c r="G76" s="5">
        <v>10</v>
      </c>
      <c r="H76" s="5">
        <v>10</v>
      </c>
      <c r="I76" s="5">
        <v>13</v>
      </c>
      <c r="J76" s="5">
        <v>12</v>
      </c>
      <c r="K76" s="5">
        <v>68</v>
      </c>
      <c r="L76" s="5" t="s">
        <v>182</v>
      </c>
      <c r="M76" s="5">
        <v>12</v>
      </c>
    </row>
    <row r="77" spans="1:13">
      <c r="A77" s="5"/>
      <c r="B77" s="5" t="s">
        <v>395</v>
      </c>
      <c r="C77" s="6" t="str">
        <f>VLOOKUP(B77,AI项目集!$C$2:$D$189,2,0)</f>
        <v>WL010</v>
      </c>
      <c r="D77" s="5" t="s">
        <v>318</v>
      </c>
      <c r="E77" s="5">
        <v>8</v>
      </c>
      <c r="F77" s="5">
        <v>12</v>
      </c>
      <c r="G77" s="5">
        <v>10</v>
      </c>
      <c r="H77" s="5">
        <v>10</v>
      </c>
      <c r="I77" s="5">
        <v>14</v>
      </c>
      <c r="J77" s="5">
        <v>14</v>
      </c>
      <c r="K77" s="5">
        <v>68</v>
      </c>
      <c r="L77" s="5" t="s">
        <v>182</v>
      </c>
      <c r="M77" s="5">
        <v>12</v>
      </c>
    </row>
    <row r="78" ht="28" spans="1:13">
      <c r="A78" s="5"/>
      <c r="B78" s="5" t="s">
        <v>425</v>
      </c>
      <c r="C78" s="6" t="str">
        <f>VLOOKUP(B78,AI项目集!$C$2:$D$189,2,0)</f>
        <v>WL014</v>
      </c>
      <c r="D78" s="5" t="s">
        <v>318</v>
      </c>
      <c r="E78" s="5">
        <v>8</v>
      </c>
      <c r="F78" s="5">
        <v>12</v>
      </c>
      <c r="G78" s="5">
        <v>10</v>
      </c>
      <c r="H78" s="5">
        <v>10</v>
      </c>
      <c r="I78" s="5">
        <v>14</v>
      </c>
      <c r="J78" s="5">
        <v>14</v>
      </c>
      <c r="K78" s="5">
        <v>68</v>
      </c>
      <c r="L78" s="5" t="s">
        <v>182</v>
      </c>
      <c r="M78" s="5">
        <v>12</v>
      </c>
    </row>
    <row r="79" ht="28" spans="1:13">
      <c r="A79" s="5"/>
      <c r="B79" s="5" t="s">
        <v>500</v>
      </c>
      <c r="C79" s="6" t="str">
        <f>VLOOKUP(B79,AI项目集!$C$2:$D$189,2,0)</f>
        <v>LS004</v>
      </c>
      <c r="D79" s="5" t="s">
        <v>473</v>
      </c>
      <c r="E79" s="5">
        <v>8</v>
      </c>
      <c r="F79" s="5">
        <v>12</v>
      </c>
      <c r="G79" s="5">
        <v>10</v>
      </c>
      <c r="H79" s="5">
        <v>10</v>
      </c>
      <c r="I79" s="5">
        <v>14</v>
      </c>
      <c r="J79" s="5">
        <v>14</v>
      </c>
      <c r="K79" s="5">
        <v>68</v>
      </c>
      <c r="L79" s="5" t="s">
        <v>182</v>
      </c>
      <c r="M79" s="5">
        <v>12</v>
      </c>
    </row>
    <row r="80" ht="28" spans="1:13">
      <c r="A80" s="5"/>
      <c r="B80" s="5" t="s">
        <v>507</v>
      </c>
      <c r="C80" s="6" t="str">
        <f>VLOOKUP(B80,AI项目集!$C$2:$D$189,2,0)</f>
        <v>LS005</v>
      </c>
      <c r="D80" s="5" t="s">
        <v>473</v>
      </c>
      <c r="E80" s="5">
        <v>10</v>
      </c>
      <c r="F80" s="5">
        <v>13</v>
      </c>
      <c r="G80" s="5">
        <v>10</v>
      </c>
      <c r="H80" s="5">
        <v>10</v>
      </c>
      <c r="I80" s="5">
        <v>13</v>
      </c>
      <c r="J80" s="5">
        <v>12</v>
      </c>
      <c r="K80" s="5">
        <v>68</v>
      </c>
      <c r="L80" s="5" t="s">
        <v>182</v>
      </c>
      <c r="M80" s="5">
        <v>12</v>
      </c>
    </row>
    <row r="81" ht="28" spans="1:13">
      <c r="A81" s="5"/>
      <c r="B81" s="5" t="s">
        <v>620</v>
      </c>
      <c r="C81" s="6" t="str">
        <f>VLOOKUP(B81,AI项目集!$C$2:$D$189,2,0)</f>
        <v>LS020</v>
      </c>
      <c r="D81" s="5" t="s">
        <v>473</v>
      </c>
      <c r="E81" s="5">
        <v>10</v>
      </c>
      <c r="F81" s="5">
        <v>13</v>
      </c>
      <c r="G81" s="5">
        <v>10</v>
      </c>
      <c r="H81" s="5">
        <v>10</v>
      </c>
      <c r="I81" s="5">
        <v>13</v>
      </c>
      <c r="J81" s="5">
        <v>12</v>
      </c>
      <c r="K81" s="5">
        <v>68</v>
      </c>
      <c r="L81" s="5" t="s">
        <v>182</v>
      </c>
      <c r="M81" s="5">
        <v>12</v>
      </c>
    </row>
    <row r="82" ht="28" spans="1:13">
      <c r="A82" s="5"/>
      <c r="B82" s="5" t="s">
        <v>1172</v>
      </c>
      <c r="C82" s="6" t="e">
        <f>VLOOKUP(B82,AI项目集!$C$2:$D$189,2,0)</f>
        <v>#N/A</v>
      </c>
      <c r="D82" s="5" t="s">
        <v>473</v>
      </c>
      <c r="E82" s="5">
        <v>10</v>
      </c>
      <c r="F82" s="5">
        <v>13</v>
      </c>
      <c r="G82" s="5">
        <v>10</v>
      </c>
      <c r="H82" s="5">
        <v>10</v>
      </c>
      <c r="I82" s="5">
        <v>13</v>
      </c>
      <c r="J82" s="5">
        <v>12</v>
      </c>
      <c r="K82" s="5">
        <v>68</v>
      </c>
      <c r="L82" s="5" t="s">
        <v>182</v>
      </c>
      <c r="M82" s="5">
        <v>12</v>
      </c>
    </row>
    <row r="83" ht="28" spans="1:13">
      <c r="A83" s="5"/>
      <c r="B83" s="5" t="s">
        <v>667</v>
      </c>
      <c r="C83" s="6" t="str">
        <f>VLOOKUP(B83,AI项目集!$C$2:$D$189,2,0)</f>
        <v>LS026</v>
      </c>
      <c r="D83" s="5" t="s">
        <v>473</v>
      </c>
      <c r="E83" s="5">
        <v>8</v>
      </c>
      <c r="F83" s="5">
        <v>13</v>
      </c>
      <c r="G83" s="5">
        <v>10</v>
      </c>
      <c r="H83" s="5">
        <v>10</v>
      </c>
      <c r="I83" s="5">
        <v>14</v>
      </c>
      <c r="J83" s="5">
        <v>13</v>
      </c>
      <c r="K83" s="5">
        <v>68</v>
      </c>
      <c r="L83" s="5" t="s">
        <v>182</v>
      </c>
      <c r="M83" s="5">
        <v>12</v>
      </c>
    </row>
    <row r="84" ht="28" spans="1:13">
      <c r="A84" s="5"/>
      <c r="B84" s="5" t="s">
        <v>757</v>
      </c>
      <c r="C84" s="6" t="str">
        <f>VLOOKUP(B84,AI项目集!$C$2:$D$189,2,0)</f>
        <v>YY008</v>
      </c>
      <c r="D84" s="5" t="s">
        <v>699</v>
      </c>
      <c r="E84" s="5">
        <v>8</v>
      </c>
      <c r="F84" s="5">
        <v>12</v>
      </c>
      <c r="G84" s="5">
        <v>10</v>
      </c>
      <c r="H84" s="5">
        <v>10</v>
      </c>
      <c r="I84" s="5">
        <v>14</v>
      </c>
      <c r="J84" s="5">
        <v>14</v>
      </c>
      <c r="K84" s="5">
        <v>68</v>
      </c>
      <c r="L84" s="5" t="s">
        <v>182</v>
      </c>
      <c r="M84" s="5">
        <v>12</v>
      </c>
    </row>
    <row r="85" ht="28" spans="1:13">
      <c r="A85" s="5"/>
      <c r="B85" s="5" t="s">
        <v>214</v>
      </c>
      <c r="C85" s="6" t="str">
        <f>VLOOKUP(B85,AI项目集!$C$2:$D$189,2,0)</f>
        <v>GYL021</v>
      </c>
      <c r="D85" s="5" t="s">
        <v>19</v>
      </c>
      <c r="E85" s="5">
        <v>8</v>
      </c>
      <c r="F85" s="5">
        <v>12</v>
      </c>
      <c r="G85" s="5">
        <v>10</v>
      </c>
      <c r="H85" s="5">
        <v>10</v>
      </c>
      <c r="I85" s="5">
        <v>14</v>
      </c>
      <c r="J85" s="5">
        <v>13</v>
      </c>
      <c r="K85" s="5">
        <v>67</v>
      </c>
      <c r="L85" s="5" t="s">
        <v>182</v>
      </c>
      <c r="M85" s="5">
        <v>12</v>
      </c>
    </row>
    <row r="86" ht="28" spans="1:13">
      <c r="A86" s="5"/>
      <c r="B86" s="5" t="s">
        <v>370</v>
      </c>
      <c r="C86" s="6" t="str">
        <f>VLOOKUP(B86,AI项目集!$C$2:$D$189,2,0)</f>
        <v>WL007</v>
      </c>
      <c r="D86" s="5" t="s">
        <v>318</v>
      </c>
      <c r="E86" s="5">
        <v>8</v>
      </c>
      <c r="F86" s="5">
        <v>12</v>
      </c>
      <c r="G86" s="5">
        <v>10</v>
      </c>
      <c r="H86" s="5">
        <v>10</v>
      </c>
      <c r="I86" s="5">
        <v>14</v>
      </c>
      <c r="J86" s="5">
        <v>13</v>
      </c>
      <c r="K86" s="5">
        <v>67</v>
      </c>
      <c r="L86" s="5" t="s">
        <v>182</v>
      </c>
      <c r="M86" s="5">
        <v>12</v>
      </c>
    </row>
    <row r="87" ht="28" spans="1:13">
      <c r="A87" s="5"/>
      <c r="B87" s="5" t="s">
        <v>718</v>
      </c>
      <c r="C87" s="6" t="str">
        <f>VLOOKUP(B87,AI项目集!$C$2:$D$189,2,0)</f>
        <v>YY003</v>
      </c>
      <c r="D87" s="5" t="s">
        <v>699</v>
      </c>
      <c r="E87" s="5">
        <v>6</v>
      </c>
      <c r="F87" s="5">
        <v>10</v>
      </c>
      <c r="G87" s="5">
        <v>5</v>
      </c>
      <c r="H87" s="5">
        <v>8</v>
      </c>
      <c r="I87" s="5">
        <v>16</v>
      </c>
      <c r="J87" s="5">
        <v>16</v>
      </c>
      <c r="K87" s="5">
        <v>67</v>
      </c>
      <c r="L87" s="5" t="s">
        <v>182</v>
      </c>
      <c r="M87" s="5">
        <v>8</v>
      </c>
    </row>
    <row r="88" ht="28" spans="1:13">
      <c r="A88" s="5"/>
      <c r="B88" s="5" t="s">
        <v>742</v>
      </c>
      <c r="C88" s="6" t="str">
        <f>VLOOKUP(B88,AI项目集!$C$2:$D$189,2,0)</f>
        <v>YY006</v>
      </c>
      <c r="D88" s="5" t="s">
        <v>699</v>
      </c>
      <c r="E88" s="5">
        <v>8</v>
      </c>
      <c r="F88" s="5">
        <v>12</v>
      </c>
      <c r="G88" s="5">
        <v>10</v>
      </c>
      <c r="H88" s="5">
        <v>10</v>
      </c>
      <c r="I88" s="5">
        <v>14</v>
      </c>
      <c r="J88" s="5">
        <v>13</v>
      </c>
      <c r="K88" s="5">
        <v>67</v>
      </c>
      <c r="L88" s="5" t="s">
        <v>182</v>
      </c>
      <c r="M88" s="5">
        <v>12</v>
      </c>
    </row>
    <row r="89" ht="28" spans="1:13">
      <c r="A89" s="5"/>
      <c r="B89" s="5" t="s">
        <v>810</v>
      </c>
      <c r="C89" s="6" t="str">
        <f>VLOOKUP(B89,AI项目集!$C$2:$D$189,2,0)</f>
        <v>YY015</v>
      </c>
      <c r="D89" s="5" t="s">
        <v>699</v>
      </c>
      <c r="E89" s="5">
        <v>8</v>
      </c>
      <c r="F89" s="5">
        <v>12</v>
      </c>
      <c r="G89" s="5">
        <v>10</v>
      </c>
      <c r="H89" s="5">
        <v>10</v>
      </c>
      <c r="I89" s="5">
        <v>14</v>
      </c>
      <c r="J89" s="5">
        <v>13</v>
      </c>
      <c r="K89" s="5">
        <v>67</v>
      </c>
      <c r="L89" s="5" t="s">
        <v>182</v>
      </c>
      <c r="M89" s="5">
        <v>12</v>
      </c>
    </row>
    <row r="90" ht="28" spans="1:13">
      <c r="A90" s="5"/>
      <c r="B90" s="5" t="s">
        <v>897</v>
      </c>
      <c r="C90" s="6" t="str">
        <f>VLOOKUP(B90,AI项目集!$C$2:$D$189,2,0)</f>
        <v>YY126</v>
      </c>
      <c r="D90" s="5" t="s">
        <v>699</v>
      </c>
      <c r="E90" s="5">
        <v>6</v>
      </c>
      <c r="F90" s="5">
        <v>10</v>
      </c>
      <c r="G90" s="5">
        <v>5</v>
      </c>
      <c r="H90" s="5">
        <v>8</v>
      </c>
      <c r="I90" s="5">
        <v>16</v>
      </c>
      <c r="J90" s="5">
        <v>16</v>
      </c>
      <c r="K90" s="5">
        <v>67</v>
      </c>
      <c r="L90" s="5" t="s">
        <v>182</v>
      </c>
      <c r="M90" s="5">
        <v>8</v>
      </c>
    </row>
    <row r="91" ht="28" spans="1:13">
      <c r="A91" s="5"/>
      <c r="B91" s="5" t="s">
        <v>67</v>
      </c>
      <c r="C91" s="6" t="str">
        <f>VLOOKUP(B91,AI项目集!$C$2:$D$189,2,0)</f>
        <v>GYL005</v>
      </c>
      <c r="D91" s="5" t="s">
        <v>19</v>
      </c>
      <c r="E91" s="5">
        <v>8</v>
      </c>
      <c r="F91" s="5">
        <v>10</v>
      </c>
      <c r="G91" s="5">
        <v>5</v>
      </c>
      <c r="H91" s="5">
        <v>10</v>
      </c>
      <c r="I91" s="5">
        <v>12</v>
      </c>
      <c r="J91" s="5">
        <v>11</v>
      </c>
      <c r="K91" s="5">
        <v>66</v>
      </c>
      <c r="L91" s="5" t="s">
        <v>70</v>
      </c>
      <c r="M91" s="5">
        <v>12</v>
      </c>
    </row>
    <row r="92" ht="28" spans="1:13">
      <c r="A92" s="5"/>
      <c r="B92" s="5" t="s">
        <v>137</v>
      </c>
      <c r="C92" s="6" t="str">
        <f>VLOOKUP(B92,AI项目集!$C$2:$D$189,2,0)</f>
        <v>GYL012</v>
      </c>
      <c r="D92" s="5" t="s">
        <v>19</v>
      </c>
      <c r="E92" s="5">
        <v>8</v>
      </c>
      <c r="F92" s="5">
        <v>10</v>
      </c>
      <c r="G92" s="5">
        <v>10</v>
      </c>
      <c r="H92" s="5">
        <v>10</v>
      </c>
      <c r="I92" s="5">
        <v>14</v>
      </c>
      <c r="J92" s="5">
        <v>14</v>
      </c>
      <c r="K92" s="5">
        <v>66</v>
      </c>
      <c r="L92" s="5" t="s">
        <v>70</v>
      </c>
      <c r="M92" s="5">
        <v>12</v>
      </c>
    </row>
    <row r="93" ht="28" spans="1:13">
      <c r="A93" s="5"/>
      <c r="B93" s="5" t="s">
        <v>1173</v>
      </c>
      <c r="C93" s="6" t="e">
        <f>VLOOKUP(B93,AI项目集!$C$2:$D$189,2,0)</f>
        <v>#N/A</v>
      </c>
      <c r="D93" s="5" t="s">
        <v>19</v>
      </c>
      <c r="E93" s="5">
        <v>8</v>
      </c>
      <c r="F93" s="5">
        <v>10</v>
      </c>
      <c r="G93" s="5">
        <v>10</v>
      </c>
      <c r="H93" s="5">
        <v>10</v>
      </c>
      <c r="I93" s="5">
        <v>14</v>
      </c>
      <c r="J93" s="5">
        <v>14</v>
      </c>
      <c r="K93" s="5">
        <v>66</v>
      </c>
      <c r="L93" s="5" t="s">
        <v>70</v>
      </c>
      <c r="M93" s="5">
        <v>12</v>
      </c>
    </row>
    <row r="94" ht="28" spans="1:13">
      <c r="A94" s="5"/>
      <c r="B94" s="5" t="s">
        <v>329</v>
      </c>
      <c r="C94" s="6" t="str">
        <f>VLOOKUP(B94,AI项目集!$C$2:$D$189,2,0)</f>
        <v>WL002</v>
      </c>
      <c r="D94" s="5" t="s">
        <v>318</v>
      </c>
      <c r="E94" s="5">
        <v>8</v>
      </c>
      <c r="F94" s="5">
        <v>10</v>
      </c>
      <c r="G94" s="5">
        <v>5</v>
      </c>
      <c r="H94" s="5">
        <v>10</v>
      </c>
      <c r="I94" s="5">
        <v>12</v>
      </c>
      <c r="J94" s="5">
        <v>11</v>
      </c>
      <c r="K94" s="5">
        <v>66</v>
      </c>
      <c r="L94" s="5" t="s">
        <v>70</v>
      </c>
      <c r="M94" s="5">
        <v>13</v>
      </c>
    </row>
    <row r="95" ht="28" spans="1:13">
      <c r="A95" s="5"/>
      <c r="B95" s="5" t="s">
        <v>403</v>
      </c>
      <c r="C95" s="6" t="str">
        <f>VLOOKUP(B95,AI项目集!$C$2:$D$189,2,0)</f>
        <v>WL011</v>
      </c>
      <c r="D95" s="5" t="s">
        <v>318</v>
      </c>
      <c r="E95" s="5">
        <v>8</v>
      </c>
      <c r="F95" s="5">
        <v>10</v>
      </c>
      <c r="G95" s="5">
        <v>10</v>
      </c>
      <c r="H95" s="5">
        <v>10</v>
      </c>
      <c r="I95" s="5">
        <v>14</v>
      </c>
      <c r="J95" s="5">
        <v>14</v>
      </c>
      <c r="K95" s="5">
        <v>66</v>
      </c>
      <c r="L95" s="5" t="s">
        <v>70</v>
      </c>
      <c r="M95" s="5">
        <v>12</v>
      </c>
    </row>
    <row r="96" ht="28" spans="1:13">
      <c r="A96" s="5"/>
      <c r="B96" s="5" t="s">
        <v>417</v>
      </c>
      <c r="C96" s="6" t="str">
        <f>VLOOKUP(B96,AI项目集!$C$2:$D$189,2,0)</f>
        <v>WL013</v>
      </c>
      <c r="D96" s="5" t="s">
        <v>318</v>
      </c>
      <c r="E96" s="5">
        <v>8</v>
      </c>
      <c r="F96" s="5">
        <v>10</v>
      </c>
      <c r="G96" s="5">
        <v>5</v>
      </c>
      <c r="H96" s="5">
        <v>10</v>
      </c>
      <c r="I96" s="5">
        <v>12</v>
      </c>
      <c r="J96" s="5">
        <v>11</v>
      </c>
      <c r="K96" s="5">
        <v>66</v>
      </c>
      <c r="L96" s="5" t="s">
        <v>70</v>
      </c>
      <c r="M96" s="5">
        <v>13</v>
      </c>
    </row>
    <row r="97" ht="28" spans="1:13">
      <c r="A97" s="5"/>
      <c r="B97" s="5" t="s">
        <v>566</v>
      </c>
      <c r="C97" s="6" t="str">
        <f>VLOOKUP(B97,AI项目集!$C$2:$D$189,2,0)</f>
        <v>LS013</v>
      </c>
      <c r="D97" s="5" t="s">
        <v>473</v>
      </c>
      <c r="E97" s="5">
        <v>10</v>
      </c>
      <c r="F97" s="5">
        <v>13</v>
      </c>
      <c r="G97" s="5">
        <v>10</v>
      </c>
      <c r="H97" s="5">
        <v>10</v>
      </c>
      <c r="I97" s="5">
        <v>12</v>
      </c>
      <c r="J97" s="5">
        <v>11</v>
      </c>
      <c r="K97" s="5">
        <v>66</v>
      </c>
      <c r="L97" s="5" t="s">
        <v>70</v>
      </c>
      <c r="M97" s="5">
        <v>14</v>
      </c>
    </row>
    <row r="98" ht="28" spans="1:13">
      <c r="A98" s="5"/>
      <c r="B98" s="5" t="s">
        <v>613</v>
      </c>
      <c r="C98" s="6" t="str">
        <f>VLOOKUP(B98,AI项目集!$C$2:$D$189,2,0)</f>
        <v>LS019</v>
      </c>
      <c r="D98" s="5" t="s">
        <v>473</v>
      </c>
      <c r="E98" s="5">
        <v>8</v>
      </c>
      <c r="F98" s="5">
        <v>10</v>
      </c>
      <c r="G98" s="5">
        <v>10</v>
      </c>
      <c r="H98" s="5">
        <v>10</v>
      </c>
      <c r="I98" s="5">
        <v>14</v>
      </c>
      <c r="J98" s="5">
        <v>14</v>
      </c>
      <c r="K98" s="5">
        <v>66</v>
      </c>
      <c r="L98" s="5" t="s">
        <v>70</v>
      </c>
      <c r="M98" s="5">
        <v>12</v>
      </c>
    </row>
    <row r="99" spans="1:13">
      <c r="A99" s="5"/>
      <c r="B99" s="5" t="s">
        <v>650</v>
      </c>
      <c r="C99" s="6" t="str">
        <f>VLOOKUP(B99,AI项目集!$C$2:$D$189,2,0)</f>
        <v>LS024</v>
      </c>
      <c r="D99" s="5" t="s">
        <v>473</v>
      </c>
      <c r="E99" s="5">
        <v>8</v>
      </c>
      <c r="F99" s="5">
        <v>10</v>
      </c>
      <c r="G99" s="5">
        <v>10</v>
      </c>
      <c r="H99" s="5">
        <v>10</v>
      </c>
      <c r="I99" s="5">
        <v>14</v>
      </c>
      <c r="J99" s="5">
        <v>14</v>
      </c>
      <c r="K99" s="5">
        <v>66</v>
      </c>
      <c r="L99" s="5" t="s">
        <v>70</v>
      </c>
      <c r="M99" s="5">
        <v>12</v>
      </c>
    </row>
    <row r="100" ht="28" spans="1:13">
      <c r="A100" s="5"/>
      <c r="B100" s="5" t="s">
        <v>771</v>
      </c>
      <c r="C100" s="6" t="str">
        <f>VLOOKUP(B100,AI项目集!$C$2:$D$189,2,0)</f>
        <v>YY010</v>
      </c>
      <c r="D100" s="5" t="s">
        <v>699</v>
      </c>
      <c r="E100" s="5">
        <v>8</v>
      </c>
      <c r="F100" s="5">
        <v>10</v>
      </c>
      <c r="G100" s="5">
        <v>10</v>
      </c>
      <c r="H100" s="5">
        <v>10</v>
      </c>
      <c r="I100" s="5">
        <v>14</v>
      </c>
      <c r="J100" s="5">
        <v>14</v>
      </c>
      <c r="K100" s="5">
        <v>66</v>
      </c>
      <c r="L100" s="5" t="s">
        <v>70</v>
      </c>
      <c r="M100" s="5">
        <v>12</v>
      </c>
    </row>
    <row r="101" ht="28" spans="1:13">
      <c r="A101" s="5"/>
      <c r="B101" s="5" t="s">
        <v>1174</v>
      </c>
      <c r="C101" s="6" t="e">
        <f>VLOOKUP(B101,AI项目集!$C$2:$D$189,2,0)</f>
        <v>#N/A</v>
      </c>
      <c r="D101" s="5" t="s">
        <v>699</v>
      </c>
      <c r="E101" s="5">
        <v>8</v>
      </c>
      <c r="F101" s="5">
        <v>10</v>
      </c>
      <c r="G101" s="5">
        <v>10</v>
      </c>
      <c r="H101" s="5">
        <v>10</v>
      </c>
      <c r="I101" s="5">
        <v>14</v>
      </c>
      <c r="J101" s="5">
        <v>14</v>
      </c>
      <c r="K101" s="5">
        <v>66</v>
      </c>
      <c r="L101" s="5" t="s">
        <v>70</v>
      </c>
      <c r="M101" s="5">
        <v>12</v>
      </c>
    </row>
    <row r="102" ht="28" spans="1:13">
      <c r="A102" s="5"/>
      <c r="B102" s="5" t="s">
        <v>817</v>
      </c>
      <c r="C102" s="6" t="str">
        <f>VLOOKUP(B102,AI项目集!$C$2:$D$189,2,0)</f>
        <v>YY016</v>
      </c>
      <c r="D102" s="5" t="s">
        <v>699</v>
      </c>
      <c r="E102" s="5">
        <v>8</v>
      </c>
      <c r="F102" s="5">
        <v>10</v>
      </c>
      <c r="G102" s="5">
        <v>10</v>
      </c>
      <c r="H102" s="5">
        <v>10</v>
      </c>
      <c r="I102" s="5">
        <v>14</v>
      </c>
      <c r="J102" s="5">
        <v>14</v>
      </c>
      <c r="K102" s="5">
        <v>66</v>
      </c>
      <c r="L102" s="5" t="s">
        <v>70</v>
      </c>
      <c r="M102" s="5">
        <v>12</v>
      </c>
    </row>
    <row r="103" ht="28" spans="1:13">
      <c r="A103" s="5"/>
      <c r="B103" s="5" t="s">
        <v>831</v>
      </c>
      <c r="C103" s="6" t="str">
        <f>VLOOKUP(B103,AI项目集!$C$2:$D$189,2,0)</f>
        <v>YY018</v>
      </c>
      <c r="D103" s="5" t="s">
        <v>699</v>
      </c>
      <c r="E103" s="5">
        <v>8</v>
      </c>
      <c r="F103" s="5">
        <v>12</v>
      </c>
      <c r="G103" s="5">
        <v>5</v>
      </c>
      <c r="H103" s="5">
        <v>10</v>
      </c>
      <c r="I103" s="5">
        <v>12</v>
      </c>
      <c r="J103" s="5">
        <v>11</v>
      </c>
      <c r="K103" s="5">
        <v>66</v>
      </c>
      <c r="L103" s="5" t="s">
        <v>70</v>
      </c>
      <c r="M103" s="5">
        <v>14</v>
      </c>
    </row>
    <row r="104" ht="28" spans="1:13">
      <c r="A104" s="5"/>
      <c r="B104" s="5" t="s">
        <v>1175</v>
      </c>
      <c r="C104" s="6" t="e">
        <f>VLOOKUP(B104,AI项目集!$C$2:$D$189,2,0)</f>
        <v>#N/A</v>
      </c>
      <c r="D104" s="5" t="s">
        <v>19</v>
      </c>
      <c r="E104" s="5">
        <v>8</v>
      </c>
      <c r="F104" s="5">
        <v>10</v>
      </c>
      <c r="G104" s="5">
        <v>5</v>
      </c>
      <c r="H104" s="5">
        <v>10</v>
      </c>
      <c r="I104" s="5">
        <v>14</v>
      </c>
      <c r="J104" s="5">
        <v>14</v>
      </c>
      <c r="K104" s="5">
        <v>65</v>
      </c>
      <c r="L104" s="5" t="s">
        <v>70</v>
      </c>
      <c r="M104" s="5">
        <v>12</v>
      </c>
    </row>
    <row r="105" ht="28" spans="1:13">
      <c r="A105" s="5"/>
      <c r="B105" s="5" t="s">
        <v>274</v>
      </c>
      <c r="C105" s="6" t="str">
        <f>VLOOKUP(B105,AI项目集!$C$2:$D$189,2,0)</f>
        <v>GYL028</v>
      </c>
      <c r="D105" s="5" t="s">
        <v>19</v>
      </c>
      <c r="E105" s="5">
        <v>10</v>
      </c>
      <c r="F105" s="5">
        <v>12</v>
      </c>
      <c r="G105" s="5">
        <v>10</v>
      </c>
      <c r="H105" s="5">
        <v>10</v>
      </c>
      <c r="I105" s="5">
        <v>12</v>
      </c>
      <c r="J105" s="5">
        <v>11</v>
      </c>
      <c r="K105" s="5">
        <v>65</v>
      </c>
      <c r="L105" s="5" t="s">
        <v>70</v>
      </c>
      <c r="M105" s="5">
        <v>13</v>
      </c>
    </row>
    <row r="106" ht="28" spans="1:13">
      <c r="A106" s="5"/>
      <c r="B106" s="5" t="s">
        <v>538</v>
      </c>
      <c r="C106" s="6" t="str">
        <f>VLOOKUP(B106,AI项目集!$C$2:$D$189,2,0)</f>
        <v>LS009</v>
      </c>
      <c r="D106" s="5" t="s">
        <v>473</v>
      </c>
      <c r="E106" s="5">
        <v>8</v>
      </c>
      <c r="F106" s="5">
        <v>12</v>
      </c>
      <c r="G106" s="5">
        <v>10</v>
      </c>
      <c r="H106" s="5">
        <v>10</v>
      </c>
      <c r="I106" s="5">
        <v>13</v>
      </c>
      <c r="J106" s="5">
        <v>12</v>
      </c>
      <c r="K106" s="5">
        <v>65</v>
      </c>
      <c r="L106" s="5" t="s">
        <v>70</v>
      </c>
      <c r="M106" s="5">
        <v>13</v>
      </c>
    </row>
    <row r="107" ht="28" spans="1:13">
      <c r="A107" s="5"/>
      <c r="B107" s="5" t="s">
        <v>749</v>
      </c>
      <c r="C107" s="6" t="str">
        <f>VLOOKUP(B107,AI项目集!$C$2:$D$189,2,0)</f>
        <v>YY007</v>
      </c>
      <c r="D107" s="5" t="s">
        <v>699</v>
      </c>
      <c r="E107" s="5">
        <v>8</v>
      </c>
      <c r="F107" s="5">
        <v>10</v>
      </c>
      <c r="G107" s="5">
        <v>10</v>
      </c>
      <c r="H107" s="5">
        <v>10</v>
      </c>
      <c r="I107" s="5">
        <v>14</v>
      </c>
      <c r="J107" s="5">
        <v>13</v>
      </c>
      <c r="K107" s="5">
        <v>65</v>
      </c>
      <c r="L107" s="5" t="s">
        <v>70</v>
      </c>
      <c r="M107" s="5">
        <v>12</v>
      </c>
    </row>
    <row r="108" ht="28" spans="1:13">
      <c r="A108" s="5"/>
      <c r="B108" s="5" t="s">
        <v>545</v>
      </c>
      <c r="C108" s="6" t="str">
        <f>VLOOKUP(B108,AI项目集!$C$2:$D$189,2,0)</f>
        <v>LS010</v>
      </c>
      <c r="D108" s="5" t="s">
        <v>473</v>
      </c>
      <c r="E108" s="5">
        <v>6</v>
      </c>
      <c r="F108" s="5">
        <v>10</v>
      </c>
      <c r="G108" s="5">
        <v>5</v>
      </c>
      <c r="H108" s="5">
        <v>10</v>
      </c>
      <c r="I108" s="5">
        <v>12</v>
      </c>
      <c r="J108" s="5">
        <v>11</v>
      </c>
      <c r="K108" s="5">
        <v>64</v>
      </c>
      <c r="L108" s="5" t="s">
        <v>348</v>
      </c>
      <c r="M108" s="5">
        <v>13</v>
      </c>
    </row>
    <row r="109" ht="28" spans="1:13">
      <c r="A109" s="5"/>
      <c r="B109" s="5" t="s">
        <v>582</v>
      </c>
      <c r="C109" s="6" t="str">
        <f>VLOOKUP(B109,AI项目集!$C$2:$D$189,2,0)</f>
        <v>LS015</v>
      </c>
      <c r="D109" s="5" t="s">
        <v>473</v>
      </c>
      <c r="E109" s="5">
        <v>8</v>
      </c>
      <c r="F109" s="5">
        <v>12</v>
      </c>
      <c r="G109" s="5">
        <v>5</v>
      </c>
      <c r="H109" s="5">
        <v>10</v>
      </c>
      <c r="I109" s="5">
        <v>12</v>
      </c>
      <c r="J109" s="5">
        <v>11</v>
      </c>
      <c r="K109" s="5">
        <v>64</v>
      </c>
      <c r="L109" s="5" t="s">
        <v>348</v>
      </c>
      <c r="M109" s="5">
        <v>13</v>
      </c>
    </row>
    <row r="110" ht="28" spans="1:13">
      <c r="A110" s="5"/>
      <c r="B110" s="5" t="s">
        <v>293</v>
      </c>
      <c r="C110" s="6" t="str">
        <f>VLOOKUP(B110,AI项目集!$C$2:$D$189,2,0)</f>
        <v>GYL030</v>
      </c>
      <c r="D110" s="5" t="s">
        <v>19</v>
      </c>
      <c r="E110" s="5">
        <v>8</v>
      </c>
      <c r="F110" s="5">
        <v>12</v>
      </c>
      <c r="G110" s="5">
        <v>8</v>
      </c>
      <c r="H110" s="5">
        <v>12</v>
      </c>
      <c r="I110" s="5">
        <v>14</v>
      </c>
      <c r="J110" s="5">
        <v>10</v>
      </c>
      <c r="K110" s="5">
        <v>64</v>
      </c>
      <c r="L110" s="5" t="s">
        <v>39</v>
      </c>
      <c r="M110" s="5">
        <v>10</v>
      </c>
    </row>
    <row r="111" ht="28" spans="1:13">
      <c r="A111" s="5"/>
      <c r="B111" s="5" t="s">
        <v>311</v>
      </c>
      <c r="C111" s="6" t="str">
        <f>VLOOKUP(B111,AI项目集!$C$2:$D$189,2,0)</f>
        <v>GYL032</v>
      </c>
      <c r="D111" s="5" t="s">
        <v>19</v>
      </c>
      <c r="E111" s="5">
        <v>12</v>
      </c>
      <c r="F111" s="5">
        <v>12</v>
      </c>
      <c r="G111" s="5">
        <v>8</v>
      </c>
      <c r="H111" s="5">
        <v>10</v>
      </c>
      <c r="I111" s="5">
        <v>12</v>
      </c>
      <c r="J111" s="5">
        <v>10</v>
      </c>
      <c r="K111" s="5">
        <v>64</v>
      </c>
      <c r="L111" s="5" t="s">
        <v>39</v>
      </c>
      <c r="M111" s="5">
        <v>10</v>
      </c>
    </row>
    <row r="112" ht="28" spans="1:13">
      <c r="A112" s="5"/>
      <c r="B112" s="5" t="s">
        <v>221</v>
      </c>
      <c r="C112" s="6" t="str">
        <f>VLOOKUP(B112,AI项目集!$C$2:$D$189,2,0)</f>
        <v>GYL022</v>
      </c>
      <c r="D112" s="5" t="s">
        <v>19</v>
      </c>
      <c r="E112" s="5">
        <v>6</v>
      </c>
      <c r="F112" s="5">
        <v>10</v>
      </c>
      <c r="G112" s="5">
        <v>5</v>
      </c>
      <c r="H112" s="5">
        <v>10</v>
      </c>
      <c r="I112" s="5">
        <v>14</v>
      </c>
      <c r="J112" s="5">
        <v>14</v>
      </c>
      <c r="K112" s="5">
        <v>63</v>
      </c>
      <c r="L112" s="5" t="s">
        <v>182</v>
      </c>
      <c r="M112" s="5">
        <v>12</v>
      </c>
    </row>
    <row r="113" ht="28" spans="1:13">
      <c r="A113" s="5"/>
      <c r="B113" s="5" t="s">
        <v>265</v>
      </c>
      <c r="C113" s="6" t="str">
        <f>VLOOKUP(B113,AI项目集!$C$2:$D$189,2,0)</f>
        <v>GYL027</v>
      </c>
      <c r="D113" s="5" t="s">
        <v>19</v>
      </c>
      <c r="E113" s="5">
        <v>8</v>
      </c>
      <c r="F113" s="5">
        <v>12</v>
      </c>
      <c r="G113" s="5">
        <v>10</v>
      </c>
      <c r="H113" s="5">
        <v>10</v>
      </c>
      <c r="I113" s="5">
        <v>12</v>
      </c>
      <c r="J113" s="5">
        <v>11</v>
      </c>
      <c r="K113" s="5">
        <v>63</v>
      </c>
      <c r="L113" s="5" t="s">
        <v>348</v>
      </c>
      <c r="M113" s="5">
        <v>13</v>
      </c>
    </row>
    <row r="114" ht="28" spans="1:13">
      <c r="A114" s="5"/>
      <c r="B114" s="5" t="s">
        <v>345</v>
      </c>
      <c r="C114" s="6" t="str">
        <f>VLOOKUP(B114,AI项目集!$C$2:$D$189,2,0)</f>
        <v>WL004</v>
      </c>
      <c r="D114" s="5" t="s">
        <v>318</v>
      </c>
      <c r="E114" s="5">
        <v>8</v>
      </c>
      <c r="F114" s="5">
        <v>12</v>
      </c>
      <c r="G114" s="5">
        <v>10</v>
      </c>
      <c r="H114" s="5">
        <v>10</v>
      </c>
      <c r="I114" s="5">
        <v>12</v>
      </c>
      <c r="J114" s="5">
        <v>11</v>
      </c>
      <c r="K114" s="5">
        <v>63</v>
      </c>
      <c r="L114" s="5" t="s">
        <v>348</v>
      </c>
      <c r="M114" s="5">
        <v>13</v>
      </c>
    </row>
    <row r="115" ht="28" spans="1:13">
      <c r="A115" s="5"/>
      <c r="B115" s="5" t="s">
        <v>378</v>
      </c>
      <c r="C115" s="6" t="str">
        <f>VLOOKUP(B115,AI项目集!$C$2:$D$189,2,0)</f>
        <v>WL008</v>
      </c>
      <c r="D115" s="5" t="s">
        <v>318</v>
      </c>
      <c r="E115" s="5">
        <v>8</v>
      </c>
      <c r="F115" s="5">
        <v>12</v>
      </c>
      <c r="G115" s="5">
        <v>10</v>
      </c>
      <c r="H115" s="5">
        <v>10</v>
      </c>
      <c r="I115" s="5">
        <v>12</v>
      </c>
      <c r="J115" s="5">
        <v>11</v>
      </c>
      <c r="K115" s="5">
        <v>63</v>
      </c>
      <c r="L115" s="5" t="s">
        <v>348</v>
      </c>
      <c r="M115" s="5">
        <v>13</v>
      </c>
    </row>
    <row r="116" ht="28" spans="1:13">
      <c r="A116" s="5"/>
      <c r="B116" s="5" t="s">
        <v>440</v>
      </c>
      <c r="C116" s="6" t="str">
        <f>VLOOKUP(B116,AI项目集!$C$2:$D$189,2,0)</f>
        <v>WL016</v>
      </c>
      <c r="D116" s="5" t="s">
        <v>318</v>
      </c>
      <c r="E116" s="5">
        <v>6</v>
      </c>
      <c r="F116" s="5">
        <v>10</v>
      </c>
      <c r="G116" s="5">
        <v>5</v>
      </c>
      <c r="H116" s="5">
        <v>10</v>
      </c>
      <c r="I116" s="5">
        <v>14</v>
      </c>
      <c r="J116" s="5">
        <v>14</v>
      </c>
      <c r="K116" s="5">
        <v>63</v>
      </c>
      <c r="L116" s="5" t="s">
        <v>348</v>
      </c>
      <c r="M116" s="5">
        <v>13</v>
      </c>
    </row>
    <row r="117" spans="1:13">
      <c r="A117" s="5"/>
      <c r="B117" s="5" t="s">
        <v>483</v>
      </c>
      <c r="C117" s="6" t="str">
        <f>VLOOKUP(B117,AI项目集!$C$2:$D$189,2,0)</f>
        <v>LS002</v>
      </c>
      <c r="D117" s="5" t="s">
        <v>473</v>
      </c>
      <c r="E117" s="5">
        <v>8</v>
      </c>
      <c r="F117" s="5">
        <v>12</v>
      </c>
      <c r="G117" s="5">
        <v>5</v>
      </c>
      <c r="H117" s="5">
        <v>10</v>
      </c>
      <c r="I117" s="5">
        <v>12</v>
      </c>
      <c r="J117" s="5">
        <v>11</v>
      </c>
      <c r="K117" s="5">
        <v>63</v>
      </c>
      <c r="L117" s="5" t="s">
        <v>348</v>
      </c>
      <c r="M117" s="5">
        <v>13</v>
      </c>
    </row>
    <row r="118" ht="28" spans="1:13">
      <c r="A118" s="5"/>
      <c r="B118" s="5" t="s">
        <v>531</v>
      </c>
      <c r="C118" s="6" t="str">
        <f>VLOOKUP(B118,AI项目集!$C$2:$D$189,2,0)</f>
        <v>LS008</v>
      </c>
      <c r="D118" s="5" t="s">
        <v>473</v>
      </c>
      <c r="E118" s="5">
        <v>6</v>
      </c>
      <c r="F118" s="5">
        <v>10</v>
      </c>
      <c r="G118" s="5">
        <v>5</v>
      </c>
      <c r="H118" s="5">
        <v>10</v>
      </c>
      <c r="I118" s="5">
        <v>14</v>
      </c>
      <c r="J118" s="5">
        <v>14</v>
      </c>
      <c r="K118" s="5">
        <v>63</v>
      </c>
      <c r="L118" s="5" t="s">
        <v>348</v>
      </c>
      <c r="M118" s="5">
        <v>13</v>
      </c>
    </row>
    <row r="119" ht="28" spans="1:13">
      <c r="A119" s="5"/>
      <c r="B119" s="5" t="s">
        <v>559</v>
      </c>
      <c r="C119" s="6" t="str">
        <f>VLOOKUP(B119,AI项目集!$C$2:$D$189,2,0)</f>
        <v>LS012</v>
      </c>
      <c r="D119" s="5" t="s">
        <v>473</v>
      </c>
      <c r="E119" s="5">
        <v>8</v>
      </c>
      <c r="F119" s="5">
        <v>12</v>
      </c>
      <c r="G119" s="5">
        <v>10</v>
      </c>
      <c r="H119" s="5">
        <v>10</v>
      </c>
      <c r="I119" s="5">
        <v>12</v>
      </c>
      <c r="J119" s="5">
        <v>11</v>
      </c>
      <c r="K119" s="5">
        <v>63</v>
      </c>
      <c r="L119" s="5" t="s">
        <v>348</v>
      </c>
      <c r="M119" s="5">
        <v>13</v>
      </c>
    </row>
    <row r="120" ht="28" spans="1:13">
      <c r="A120" s="5"/>
      <c r="B120" s="5" t="s">
        <v>574</v>
      </c>
      <c r="C120" s="6" t="str">
        <f>VLOOKUP(B120,AI项目集!$C$2:$D$189,2,0)</f>
        <v>LS014</v>
      </c>
      <c r="D120" s="5" t="s">
        <v>473</v>
      </c>
      <c r="E120" s="5">
        <v>6</v>
      </c>
      <c r="F120" s="5">
        <v>10</v>
      </c>
      <c r="G120" s="5">
        <v>5</v>
      </c>
      <c r="H120" s="5">
        <v>10</v>
      </c>
      <c r="I120" s="5">
        <v>14</v>
      </c>
      <c r="J120" s="5">
        <v>14</v>
      </c>
      <c r="K120" s="5">
        <v>63</v>
      </c>
      <c r="L120" s="5" t="s">
        <v>348</v>
      </c>
      <c r="M120" s="5">
        <v>13</v>
      </c>
    </row>
    <row r="121" ht="28" spans="1:13">
      <c r="A121" s="5"/>
      <c r="B121" s="5" t="s">
        <v>628</v>
      </c>
      <c r="C121" s="6" t="str">
        <f>VLOOKUP(B121,AI项目集!$C$2:$D$189,2,0)</f>
        <v>LS021</v>
      </c>
      <c r="D121" s="5" t="s">
        <v>473</v>
      </c>
      <c r="E121" s="5">
        <v>6</v>
      </c>
      <c r="F121" s="5">
        <v>10</v>
      </c>
      <c r="G121" s="5">
        <v>5</v>
      </c>
      <c r="H121" s="5">
        <v>10</v>
      </c>
      <c r="I121" s="5">
        <v>14</v>
      </c>
      <c r="J121" s="5">
        <v>14</v>
      </c>
      <c r="K121" s="5">
        <v>63</v>
      </c>
      <c r="L121" s="5" t="s">
        <v>348</v>
      </c>
      <c r="M121" s="5">
        <v>13</v>
      </c>
    </row>
    <row r="122" ht="28" spans="1:13">
      <c r="A122" s="5"/>
      <c r="B122" s="5" t="s">
        <v>778</v>
      </c>
      <c r="C122" s="6" t="str">
        <f>VLOOKUP(B122,AI项目集!$C$2:$D$189,2,0)</f>
        <v>YY011</v>
      </c>
      <c r="D122" s="5" t="s">
        <v>699</v>
      </c>
      <c r="E122" s="5">
        <v>6</v>
      </c>
      <c r="F122" s="5">
        <v>10</v>
      </c>
      <c r="G122" s="5">
        <v>5</v>
      </c>
      <c r="H122" s="5">
        <v>8</v>
      </c>
      <c r="I122" s="5">
        <v>14</v>
      </c>
      <c r="J122" s="5">
        <v>14</v>
      </c>
      <c r="K122" s="5">
        <v>63</v>
      </c>
      <c r="L122" s="5" t="s">
        <v>348</v>
      </c>
      <c r="M122" s="5">
        <v>13</v>
      </c>
    </row>
    <row r="123" ht="28" spans="1:13">
      <c r="A123" s="5"/>
      <c r="B123" s="5" t="s">
        <v>794</v>
      </c>
      <c r="C123" s="6" t="str">
        <f>VLOOKUP(B123,AI项目集!$C$2:$D$189,2,0)</f>
        <v>YY013</v>
      </c>
      <c r="D123" s="5" t="s">
        <v>699</v>
      </c>
      <c r="E123" s="5">
        <v>8</v>
      </c>
      <c r="F123" s="5">
        <v>10</v>
      </c>
      <c r="G123" s="5">
        <v>10</v>
      </c>
      <c r="H123" s="5">
        <v>10</v>
      </c>
      <c r="I123" s="5">
        <v>13</v>
      </c>
      <c r="J123" s="5">
        <v>12</v>
      </c>
      <c r="K123" s="5">
        <v>63</v>
      </c>
      <c r="L123" s="5" t="s">
        <v>348</v>
      </c>
      <c r="M123" s="5">
        <v>13</v>
      </c>
    </row>
    <row r="124" ht="28" spans="1:13">
      <c r="A124" s="5"/>
      <c r="B124" s="5" t="s">
        <v>881</v>
      </c>
      <c r="C124" s="6" t="str">
        <f>VLOOKUP(B124,AI项目集!$C$2:$D$189,2,0)</f>
        <v>YY024</v>
      </c>
      <c r="D124" s="5" t="s">
        <v>699</v>
      </c>
      <c r="E124" s="5">
        <v>6</v>
      </c>
      <c r="F124" s="5">
        <v>10</v>
      </c>
      <c r="G124" s="5">
        <v>5</v>
      </c>
      <c r="H124" s="5">
        <v>8</v>
      </c>
      <c r="I124" s="5">
        <v>14</v>
      </c>
      <c r="J124" s="5">
        <v>14</v>
      </c>
      <c r="K124" s="5">
        <v>63</v>
      </c>
      <c r="L124" s="5" t="s">
        <v>348</v>
      </c>
      <c r="M124" s="5">
        <v>13</v>
      </c>
    </row>
    <row r="125" ht="28" spans="1:13">
      <c r="A125" s="5"/>
      <c r="B125" s="5" t="s">
        <v>946</v>
      </c>
      <c r="C125" s="6" t="str">
        <f>VLOOKUP(B125,AI项目集!$C$2:$D$189,2,0)</f>
        <v>YY032</v>
      </c>
      <c r="D125" s="5" t="s">
        <v>699</v>
      </c>
      <c r="E125" s="5">
        <v>6</v>
      </c>
      <c r="F125" s="5">
        <v>10</v>
      </c>
      <c r="G125" s="5">
        <v>5</v>
      </c>
      <c r="H125" s="5">
        <v>8</v>
      </c>
      <c r="I125" s="5">
        <v>14</v>
      </c>
      <c r="J125" s="5">
        <v>14</v>
      </c>
      <c r="K125" s="5">
        <v>63</v>
      </c>
      <c r="L125" s="5" t="s">
        <v>348</v>
      </c>
      <c r="M125" s="5">
        <v>13</v>
      </c>
    </row>
    <row r="126" ht="28" spans="1:13">
      <c r="A126" s="5"/>
      <c r="B126" s="5" t="s">
        <v>491</v>
      </c>
      <c r="C126" s="6" t="str">
        <f>VLOOKUP(B126,AI项目集!$C$2:$D$189,2,0)</f>
        <v>LS003</v>
      </c>
      <c r="D126" s="5" t="s">
        <v>473</v>
      </c>
      <c r="E126" s="5">
        <v>6</v>
      </c>
      <c r="F126" s="5">
        <v>10</v>
      </c>
      <c r="G126" s="5">
        <v>5</v>
      </c>
      <c r="H126" s="5">
        <v>8</v>
      </c>
      <c r="I126" s="5">
        <v>12</v>
      </c>
      <c r="J126" s="5">
        <v>11</v>
      </c>
      <c r="K126" s="5">
        <v>62</v>
      </c>
      <c r="L126" s="5" t="s">
        <v>348</v>
      </c>
      <c r="M126" s="5">
        <v>13</v>
      </c>
    </row>
    <row r="127" ht="28" spans="1:13">
      <c r="A127" s="5"/>
      <c r="B127" s="5" t="s">
        <v>840</v>
      </c>
      <c r="C127" s="6" t="str">
        <f>VLOOKUP(B127,AI项目集!$C$2:$D$189,2,0)</f>
        <v>YY019</v>
      </c>
      <c r="D127" s="5" t="s">
        <v>699</v>
      </c>
      <c r="E127" s="5">
        <v>10</v>
      </c>
      <c r="F127" s="5">
        <v>14</v>
      </c>
      <c r="G127" s="5">
        <v>5</v>
      </c>
      <c r="H127" s="5">
        <v>10</v>
      </c>
      <c r="I127" s="5">
        <v>12</v>
      </c>
      <c r="J127" s="5">
        <v>11</v>
      </c>
      <c r="K127" s="5">
        <v>62</v>
      </c>
      <c r="L127" s="5" t="s">
        <v>348</v>
      </c>
      <c r="M127" s="5">
        <v>13</v>
      </c>
    </row>
    <row r="128" ht="28" spans="1:13">
      <c r="A128" s="5"/>
      <c r="B128" s="5" t="s">
        <v>682</v>
      </c>
      <c r="C128" s="6" t="str">
        <f>VLOOKUP(B128,AI项目集!$C$2:$D$189,2,0)</f>
        <v>LS028</v>
      </c>
      <c r="D128" s="5" t="s">
        <v>473</v>
      </c>
      <c r="E128" s="5">
        <v>8</v>
      </c>
      <c r="F128" s="5">
        <v>12</v>
      </c>
      <c r="G128" s="5">
        <v>8</v>
      </c>
      <c r="H128" s="5">
        <v>10</v>
      </c>
      <c r="I128" s="5">
        <v>14</v>
      </c>
      <c r="J128" s="5">
        <v>10</v>
      </c>
      <c r="K128" s="5">
        <v>62</v>
      </c>
      <c r="L128" s="5" t="s">
        <v>39</v>
      </c>
      <c r="M128" s="5">
        <v>10</v>
      </c>
    </row>
    <row r="129" ht="28" spans="1:13">
      <c r="A129" s="5"/>
      <c r="B129" s="5" t="s">
        <v>432</v>
      </c>
      <c r="C129" s="6" t="str">
        <f>VLOOKUP(B129,AI项目集!$C$2:$D$189,2,0)</f>
        <v>WL015</v>
      </c>
      <c r="D129" s="5" t="s">
        <v>318</v>
      </c>
      <c r="E129" s="5">
        <v>10</v>
      </c>
      <c r="F129" s="5">
        <v>12</v>
      </c>
      <c r="G129" s="5">
        <v>5</v>
      </c>
      <c r="H129" s="5">
        <v>10</v>
      </c>
      <c r="I129" s="5">
        <v>12</v>
      </c>
      <c r="J129" s="5">
        <v>11</v>
      </c>
      <c r="K129" s="5">
        <v>60</v>
      </c>
      <c r="L129" s="5" t="s">
        <v>348</v>
      </c>
      <c r="M129" s="5">
        <v>14</v>
      </c>
    </row>
    <row r="130" ht="28" spans="1:13">
      <c r="A130" s="5"/>
      <c r="B130" s="5" t="s">
        <v>848</v>
      </c>
      <c r="C130" s="6" t="str">
        <f>VLOOKUP(B130,AI项目集!$C$2:$D$189,2,0)</f>
        <v>YY020</v>
      </c>
      <c r="D130" s="5" t="s">
        <v>699</v>
      </c>
      <c r="E130" s="5">
        <v>10</v>
      </c>
      <c r="F130" s="5">
        <v>12</v>
      </c>
      <c r="G130" s="5">
        <v>5</v>
      </c>
      <c r="H130" s="5">
        <v>10</v>
      </c>
      <c r="I130" s="5">
        <v>12</v>
      </c>
      <c r="J130" s="5">
        <v>11</v>
      </c>
      <c r="K130" s="5">
        <v>60</v>
      </c>
      <c r="L130" s="5" t="s">
        <v>348</v>
      </c>
      <c r="M130" s="5">
        <v>14</v>
      </c>
    </row>
    <row r="131" ht="28" spans="1:13">
      <c r="A131" s="5"/>
      <c r="B131" s="5" t="s">
        <v>690</v>
      </c>
      <c r="C131" s="6" t="str">
        <f>VLOOKUP(B131,AI项目集!$C$2:$D$189,2,0)</f>
        <v>LS029</v>
      </c>
      <c r="D131" s="5" t="s">
        <v>473</v>
      </c>
      <c r="E131" s="5">
        <v>8</v>
      </c>
      <c r="F131" s="5">
        <v>8</v>
      </c>
      <c r="G131" s="5">
        <v>12</v>
      </c>
      <c r="H131" s="5">
        <v>8</v>
      </c>
      <c r="I131" s="5">
        <v>12</v>
      </c>
      <c r="J131" s="5">
        <v>12</v>
      </c>
      <c r="K131" s="5">
        <v>60</v>
      </c>
      <c r="L131" s="5" t="s">
        <v>81</v>
      </c>
      <c r="M131" s="5">
        <v>10</v>
      </c>
    </row>
    <row r="132" ht="28" spans="1:13">
      <c r="A132" s="5"/>
      <c r="B132" s="5" t="s">
        <v>457</v>
      </c>
      <c r="C132" s="6" t="str">
        <f>VLOOKUP(B132,AI项目集!$C$2:$D$189,2,0)</f>
        <v>WL018</v>
      </c>
      <c r="D132" s="5" t="s">
        <v>318</v>
      </c>
      <c r="E132" s="5">
        <v>8</v>
      </c>
      <c r="F132" s="5">
        <v>8</v>
      </c>
      <c r="G132" s="5">
        <v>8</v>
      </c>
      <c r="H132" s="5">
        <v>8</v>
      </c>
      <c r="I132" s="5">
        <v>12</v>
      </c>
      <c r="J132" s="5">
        <v>10</v>
      </c>
      <c r="K132" s="5">
        <v>54</v>
      </c>
      <c r="L132" s="5" t="s">
        <v>81</v>
      </c>
      <c r="M132" s="5">
        <v>10</v>
      </c>
    </row>
  </sheetData>
  <autoFilter xmlns:etc="http://www.wps.cn/officeDocument/2017/etCustomData" ref="A1:M132" etc:filterBottomFollowUsedRange="0">
    <sortState ref="A2:M132">
      <sortCondition ref="K1" descending="1"/>
    </sortState>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9"/>
  <sheetViews>
    <sheetView workbookViewId="0">
      <selection activeCell="H2" sqref="H2"/>
    </sheetView>
  </sheetViews>
  <sheetFormatPr defaultColWidth="8.72727272727273" defaultRowHeight="14"/>
  <cols>
    <col min="2" max="2" width="14.9090909090909" customWidth="1"/>
    <col min="3" max="3" width="12.3636363636364" customWidth="1"/>
    <col min="4" max="4" width="14.7272727272727" customWidth="1"/>
    <col min="5" max="5" width="20.5454545454545" customWidth="1"/>
    <col min="7" max="7" width="11.6363636363636" customWidth="1"/>
    <col min="8" max="8" width="14.3636363636364" customWidth="1"/>
    <col min="9" max="9" width="14.6363636363636" customWidth="1"/>
    <col min="10" max="10" width="45.1818181818182" customWidth="1"/>
  </cols>
  <sheetData>
    <row r="1" ht="30" customHeight="1" spans="1:10">
      <c r="A1" s="1" t="s">
        <v>0</v>
      </c>
      <c r="B1" s="1" t="s">
        <v>2</v>
      </c>
      <c r="C1" s="1" t="s">
        <v>3</v>
      </c>
      <c r="D1" s="1" t="s">
        <v>1176</v>
      </c>
      <c r="E1" s="1" t="s">
        <v>1177</v>
      </c>
      <c r="F1" s="1" t="s">
        <v>1178</v>
      </c>
      <c r="G1" s="1" t="s">
        <v>1179</v>
      </c>
      <c r="H1" s="1" t="s">
        <v>1180</v>
      </c>
      <c r="I1" s="1" t="s">
        <v>1181</v>
      </c>
      <c r="J1" s="1" t="s">
        <v>1182</v>
      </c>
    </row>
    <row r="2" ht="84" spans="1:10">
      <c r="A2" s="2">
        <v>1</v>
      </c>
      <c r="B2" s="2" t="s">
        <v>20</v>
      </c>
      <c r="C2" s="2" t="str">
        <f>VLOOKUP(B2,AI项目集!$C$2:$D$200,2,0)</f>
        <v>GYL101</v>
      </c>
      <c r="D2" s="2" t="s">
        <v>1183</v>
      </c>
      <c r="E2" s="2" t="s">
        <v>1184</v>
      </c>
      <c r="F2" s="2">
        <v>0</v>
      </c>
      <c r="G2" s="2">
        <v>0</v>
      </c>
      <c r="H2" s="2" t="s">
        <v>1185</v>
      </c>
      <c r="I2" s="2">
        <v>40</v>
      </c>
      <c r="J2" s="2" t="s">
        <v>1186</v>
      </c>
    </row>
    <row r="3" ht="84" spans="1:10">
      <c r="A3" s="2">
        <v>2</v>
      </c>
      <c r="B3" s="2" t="s">
        <v>1169</v>
      </c>
      <c r="C3" s="2" t="str">
        <f>VLOOKUP(B3,AI项目集!$C$2:$D$200,2,0)</f>
        <v>GYL002</v>
      </c>
      <c r="D3" s="2" t="s">
        <v>1187</v>
      </c>
      <c r="E3" s="2" t="s">
        <v>1188</v>
      </c>
      <c r="F3" s="2">
        <v>3</v>
      </c>
      <c r="G3" s="2">
        <v>0</v>
      </c>
      <c r="H3" s="2" t="s">
        <v>1189</v>
      </c>
      <c r="I3" s="2">
        <v>30</v>
      </c>
      <c r="J3" s="2" t="s">
        <v>1190</v>
      </c>
    </row>
    <row r="4" ht="98" spans="1:10">
      <c r="A4" s="2">
        <v>3</v>
      </c>
      <c r="B4" s="2" t="s">
        <v>48</v>
      </c>
      <c r="C4" s="2" t="str">
        <f>VLOOKUP(B4,AI项目集!$C$2:$D$200,2,0)</f>
        <v>GYL003</v>
      </c>
      <c r="D4" s="2" t="s">
        <v>1191</v>
      </c>
      <c r="E4" s="2" t="s">
        <v>1192</v>
      </c>
      <c r="F4" s="2">
        <v>10.5</v>
      </c>
      <c r="G4" s="2">
        <v>10.5</v>
      </c>
      <c r="H4" s="2" t="s">
        <v>1193</v>
      </c>
      <c r="I4" s="2">
        <v>60</v>
      </c>
      <c r="J4" s="2" t="s">
        <v>1194</v>
      </c>
    </row>
    <row r="5" ht="84" spans="1:10">
      <c r="A5" s="2">
        <v>4</v>
      </c>
      <c r="B5" s="2" t="s">
        <v>56</v>
      </c>
      <c r="C5" s="2" t="str">
        <f>VLOOKUP(B5,AI项目集!$C$2:$D$200,2,0)</f>
        <v>GYL004</v>
      </c>
      <c r="D5" s="2" t="s">
        <v>1187</v>
      </c>
      <c r="E5" s="2" t="s">
        <v>1188</v>
      </c>
      <c r="F5" s="2">
        <v>3</v>
      </c>
      <c r="G5" s="2">
        <v>0</v>
      </c>
      <c r="H5" s="2" t="s">
        <v>1189</v>
      </c>
      <c r="I5" s="2">
        <v>30</v>
      </c>
      <c r="J5" s="2" t="s">
        <v>1190</v>
      </c>
    </row>
    <row r="6" ht="98" spans="1:10">
      <c r="A6" s="2">
        <v>5</v>
      </c>
      <c r="B6" s="2" t="s">
        <v>67</v>
      </c>
      <c r="C6" s="2" t="str">
        <f>VLOOKUP(B6,AI项目集!$C$2:$D$200,2,0)</f>
        <v>GYL005</v>
      </c>
      <c r="D6" s="2" t="s">
        <v>1195</v>
      </c>
      <c r="E6" s="2" t="s">
        <v>1196</v>
      </c>
      <c r="F6" s="2">
        <v>9.75</v>
      </c>
      <c r="G6" s="2">
        <v>9.75</v>
      </c>
      <c r="H6" s="2" t="s">
        <v>1193</v>
      </c>
      <c r="I6" s="2">
        <v>60</v>
      </c>
      <c r="J6" s="2" t="s">
        <v>1197</v>
      </c>
    </row>
    <row r="7" ht="84" spans="1:10">
      <c r="A7" s="2">
        <v>6</v>
      </c>
      <c r="B7" s="2" t="s">
        <v>78</v>
      </c>
      <c r="C7" s="2" t="str">
        <f>VLOOKUP(B7,AI项目集!$C$2:$D$200,2,0)</f>
        <v>GYL006</v>
      </c>
      <c r="D7" s="2" t="s">
        <v>1187</v>
      </c>
      <c r="E7" s="2" t="s">
        <v>1188</v>
      </c>
      <c r="F7" s="2">
        <v>3</v>
      </c>
      <c r="G7" s="2">
        <v>0</v>
      </c>
      <c r="H7" s="2" t="s">
        <v>1189</v>
      </c>
      <c r="I7" s="2">
        <v>30</v>
      </c>
      <c r="J7" s="2" t="s">
        <v>1190</v>
      </c>
    </row>
    <row r="8" ht="98" spans="1:10">
      <c r="A8" s="2">
        <v>7</v>
      </c>
      <c r="B8" s="2" t="s">
        <v>88</v>
      </c>
      <c r="C8" s="2" t="str">
        <f>VLOOKUP(B8,AI项目集!$C$2:$D$200,2,0)</f>
        <v>GYL007</v>
      </c>
      <c r="D8" s="2" t="s">
        <v>1195</v>
      </c>
      <c r="E8" s="2" t="s">
        <v>1196</v>
      </c>
      <c r="F8" s="2">
        <v>9.75</v>
      </c>
      <c r="G8" s="2">
        <v>9.75</v>
      </c>
      <c r="H8" s="2" t="s">
        <v>1193</v>
      </c>
      <c r="I8" s="2">
        <v>60</v>
      </c>
      <c r="J8" s="2" t="s">
        <v>1197</v>
      </c>
    </row>
    <row r="9" ht="98" spans="1:10">
      <c r="A9" s="2">
        <v>8</v>
      </c>
      <c r="B9" s="2" t="s">
        <v>99</v>
      </c>
      <c r="C9" s="2" t="str">
        <f>VLOOKUP(B9,AI项目集!$C$2:$D$200,2,0)</f>
        <v>GYL008</v>
      </c>
      <c r="D9" s="2" t="s">
        <v>1198</v>
      </c>
      <c r="E9" s="2" t="s">
        <v>1199</v>
      </c>
      <c r="F9" s="2">
        <v>9</v>
      </c>
      <c r="G9" s="2">
        <v>1</v>
      </c>
      <c r="H9" s="2" t="s">
        <v>1200</v>
      </c>
      <c r="I9" s="2">
        <v>60</v>
      </c>
      <c r="J9" s="2" t="s">
        <v>1201</v>
      </c>
    </row>
    <row r="10" ht="98" spans="1:10">
      <c r="A10" s="2">
        <v>9</v>
      </c>
      <c r="B10" s="2" t="s">
        <v>110</v>
      </c>
      <c r="C10" s="2" t="str">
        <f>VLOOKUP(B10,AI项目集!$C$2:$D$200,2,0)</f>
        <v>GYL109</v>
      </c>
      <c r="D10" s="2" t="s">
        <v>1202</v>
      </c>
      <c r="E10" s="2" t="s">
        <v>1203</v>
      </c>
      <c r="F10" s="2">
        <v>1.65</v>
      </c>
      <c r="G10" s="2">
        <v>0</v>
      </c>
      <c r="H10" s="2" t="s">
        <v>1204</v>
      </c>
      <c r="I10" s="2">
        <v>50</v>
      </c>
      <c r="J10" s="2" t="s">
        <v>1205</v>
      </c>
    </row>
    <row r="11" ht="84" spans="1:10">
      <c r="A11" s="2">
        <v>10</v>
      </c>
      <c r="B11" s="2" t="s">
        <v>120</v>
      </c>
      <c r="C11" s="2" t="str">
        <f>VLOOKUP(B11,AI项目集!$C$2:$D$200,2,0)</f>
        <v>GYL110</v>
      </c>
      <c r="D11" s="2" t="s">
        <v>1206</v>
      </c>
      <c r="E11" s="2" t="s">
        <v>1207</v>
      </c>
      <c r="F11" s="2">
        <v>0</v>
      </c>
      <c r="G11" s="2">
        <v>0</v>
      </c>
      <c r="H11" s="2" t="s">
        <v>1185</v>
      </c>
      <c r="I11" s="2">
        <v>40</v>
      </c>
      <c r="J11" s="2" t="s">
        <v>1208</v>
      </c>
    </row>
    <row r="12" ht="84" spans="1:10">
      <c r="A12" s="2">
        <v>11</v>
      </c>
      <c r="B12" s="2" t="s">
        <v>128</v>
      </c>
      <c r="C12" s="2" t="str">
        <f>VLOOKUP(B12,AI项目集!$C$2:$D$200,2,0)</f>
        <v>GYL011</v>
      </c>
      <c r="D12" s="2" t="s">
        <v>1187</v>
      </c>
      <c r="E12" s="2" t="s">
        <v>1188</v>
      </c>
      <c r="F12" s="2">
        <v>3</v>
      </c>
      <c r="G12" s="2">
        <v>0</v>
      </c>
      <c r="H12" s="2" t="s">
        <v>1189</v>
      </c>
      <c r="I12" s="2">
        <v>30</v>
      </c>
      <c r="J12" s="2" t="s">
        <v>1190</v>
      </c>
    </row>
    <row r="13" ht="84" spans="1:10">
      <c r="A13" s="2">
        <v>12</v>
      </c>
      <c r="B13" s="2" t="s">
        <v>137</v>
      </c>
      <c r="C13" s="2" t="str">
        <f>VLOOKUP(B13,AI项目集!$C$2:$D$200,2,0)</f>
        <v>GYL012</v>
      </c>
      <c r="D13" s="2" t="s">
        <v>1209</v>
      </c>
      <c r="E13" s="2" t="s">
        <v>1210</v>
      </c>
      <c r="F13" s="2">
        <v>2.5</v>
      </c>
      <c r="G13" s="2">
        <v>0</v>
      </c>
      <c r="H13" s="2" t="s">
        <v>1189</v>
      </c>
      <c r="I13" s="2">
        <v>20</v>
      </c>
      <c r="J13" s="2" t="s">
        <v>1211</v>
      </c>
    </row>
    <row r="14" ht="98" spans="1:10">
      <c r="A14" s="2">
        <v>13</v>
      </c>
      <c r="B14" s="2" t="s">
        <v>145</v>
      </c>
      <c r="C14" s="2" t="str">
        <f>VLOOKUP(B14,AI项目集!$C$2:$D$200,2,0)</f>
        <v>GYL013</v>
      </c>
      <c r="D14" s="2" t="s">
        <v>1212</v>
      </c>
      <c r="E14" s="2" t="s">
        <v>1213</v>
      </c>
      <c r="F14" s="2">
        <v>5.25</v>
      </c>
      <c r="G14" s="2">
        <v>0</v>
      </c>
      <c r="H14" s="2" t="s">
        <v>1200</v>
      </c>
      <c r="I14" s="2">
        <v>30</v>
      </c>
      <c r="J14" s="2" t="s">
        <v>1214</v>
      </c>
    </row>
    <row r="15" ht="98" spans="1:10">
      <c r="A15" s="2">
        <v>14</v>
      </c>
      <c r="B15" s="2" t="s">
        <v>154</v>
      </c>
      <c r="C15" s="2" t="str">
        <f>VLOOKUP(B15,AI项目集!$C$2:$D$200,2,0)</f>
        <v>GYL014</v>
      </c>
      <c r="D15" s="2" t="s">
        <v>1215</v>
      </c>
      <c r="E15" s="2" t="s">
        <v>1216</v>
      </c>
      <c r="F15" s="2">
        <v>7.5</v>
      </c>
      <c r="G15" s="2">
        <v>0</v>
      </c>
      <c r="H15" s="2" t="s">
        <v>1200</v>
      </c>
      <c r="I15" s="2">
        <v>50</v>
      </c>
      <c r="J15" s="2" t="s">
        <v>1217</v>
      </c>
    </row>
    <row r="16" ht="84" spans="1:10">
      <c r="A16" s="2">
        <v>15</v>
      </c>
      <c r="B16" s="2" t="s">
        <v>161</v>
      </c>
      <c r="C16" s="2" t="str">
        <f>VLOOKUP(B16,AI项目集!$C$2:$D$200,2,0)</f>
        <v>GYL115</v>
      </c>
      <c r="D16" s="2" t="s">
        <v>1218</v>
      </c>
      <c r="E16" s="2" t="s">
        <v>1219</v>
      </c>
      <c r="F16" s="2">
        <v>0</v>
      </c>
      <c r="G16" s="2">
        <v>0</v>
      </c>
      <c r="H16" s="2" t="s">
        <v>1185</v>
      </c>
      <c r="I16" s="2">
        <v>30</v>
      </c>
      <c r="J16" s="2" t="s">
        <v>1220</v>
      </c>
    </row>
    <row r="17" ht="98" spans="1:10">
      <c r="A17" s="2">
        <v>16</v>
      </c>
      <c r="B17" s="2" t="s">
        <v>169</v>
      </c>
      <c r="C17" s="2" t="str">
        <f>VLOOKUP(B17,AI项目集!$C$2:$D$200,2,0)</f>
        <v>GYL016</v>
      </c>
      <c r="D17" s="2" t="s">
        <v>1215</v>
      </c>
      <c r="E17" s="2" t="s">
        <v>1216</v>
      </c>
      <c r="F17" s="2">
        <v>7.5</v>
      </c>
      <c r="G17" s="2">
        <v>0</v>
      </c>
      <c r="H17" s="2" t="s">
        <v>1200</v>
      </c>
      <c r="I17" s="2">
        <v>50</v>
      </c>
      <c r="J17" s="2" t="s">
        <v>1217</v>
      </c>
    </row>
    <row r="18" ht="84" spans="1:10">
      <c r="A18" s="2">
        <v>17</v>
      </c>
      <c r="B18" s="2" t="s">
        <v>178</v>
      </c>
      <c r="C18" s="2" t="str">
        <f>VLOOKUP(B18,AI项目集!$C$2:$D$200,2,0)</f>
        <v>GYL017</v>
      </c>
      <c r="D18" s="2" t="s">
        <v>1187</v>
      </c>
      <c r="E18" s="2" t="s">
        <v>1188</v>
      </c>
      <c r="F18" s="2">
        <v>3</v>
      </c>
      <c r="G18" s="2">
        <v>0</v>
      </c>
      <c r="H18" s="2" t="s">
        <v>1189</v>
      </c>
      <c r="I18" s="2">
        <v>30</v>
      </c>
      <c r="J18" s="2" t="s">
        <v>1190</v>
      </c>
    </row>
    <row r="19" ht="98" spans="1:10">
      <c r="A19" s="2">
        <v>18</v>
      </c>
      <c r="B19" s="2" t="s">
        <v>187</v>
      </c>
      <c r="C19" s="2" t="str">
        <f>VLOOKUP(B19,AI项目集!$C$2:$D$200,2,0)</f>
        <v>GYL018</v>
      </c>
      <c r="D19" s="2" t="s">
        <v>1221</v>
      </c>
      <c r="E19" s="2" t="s">
        <v>1222</v>
      </c>
      <c r="F19" s="2">
        <v>6.75</v>
      </c>
      <c r="G19" s="2">
        <v>0</v>
      </c>
      <c r="H19" s="2" t="s">
        <v>1200</v>
      </c>
      <c r="I19" s="2">
        <v>40</v>
      </c>
      <c r="J19" s="2" t="s">
        <v>1223</v>
      </c>
    </row>
    <row r="20" ht="84" spans="1:10">
      <c r="A20" s="2">
        <v>19</v>
      </c>
      <c r="B20" s="2" t="s">
        <v>196</v>
      </c>
      <c r="C20" s="2" t="str">
        <f>VLOOKUP(B20,AI项目集!$C$2:$D$200,2,0)</f>
        <v>GYL019</v>
      </c>
      <c r="D20" s="2" t="s">
        <v>1224</v>
      </c>
      <c r="E20" s="2" t="s">
        <v>1225</v>
      </c>
      <c r="F20" s="2">
        <v>2</v>
      </c>
      <c r="G20" s="2">
        <v>0</v>
      </c>
      <c r="H20" s="2" t="s">
        <v>1189</v>
      </c>
      <c r="I20" s="2">
        <v>20</v>
      </c>
      <c r="J20" s="2" t="s">
        <v>1226</v>
      </c>
    </row>
    <row r="21" ht="98" spans="1:10">
      <c r="A21" s="2">
        <v>20</v>
      </c>
      <c r="B21" s="2" t="s">
        <v>204</v>
      </c>
      <c r="C21" s="2" t="str">
        <f>VLOOKUP(B21,AI项目集!$C$2:$D$200,2,0)</f>
        <v>GYL120</v>
      </c>
      <c r="D21" s="2" t="s">
        <v>1227</v>
      </c>
      <c r="E21" s="2" t="s">
        <v>1228</v>
      </c>
      <c r="F21" s="2">
        <v>2.25</v>
      </c>
      <c r="G21" s="2">
        <v>0</v>
      </c>
      <c r="H21" s="2" t="s">
        <v>1204</v>
      </c>
      <c r="I21" s="2">
        <v>70</v>
      </c>
      <c r="J21" s="2" t="s">
        <v>1229</v>
      </c>
    </row>
    <row r="22" ht="84" spans="1:10">
      <c r="A22" s="2">
        <v>21</v>
      </c>
      <c r="B22" s="2" t="s">
        <v>214</v>
      </c>
      <c r="C22" s="2" t="str">
        <f>VLOOKUP(B22,AI项目集!$C$2:$D$200,2,0)</f>
        <v>GYL021</v>
      </c>
      <c r="D22" s="2" t="s">
        <v>1187</v>
      </c>
      <c r="E22" s="2" t="s">
        <v>1188</v>
      </c>
      <c r="F22" s="2">
        <v>3</v>
      </c>
      <c r="G22" s="2">
        <v>0</v>
      </c>
      <c r="H22" s="2" t="s">
        <v>1189</v>
      </c>
      <c r="I22" s="2">
        <v>30</v>
      </c>
      <c r="J22" s="2" t="s">
        <v>1190</v>
      </c>
    </row>
    <row r="23" ht="98" spans="1:10">
      <c r="A23" s="2">
        <v>22</v>
      </c>
      <c r="B23" s="2" t="s">
        <v>221</v>
      </c>
      <c r="C23" s="2" t="str">
        <f>VLOOKUP(B23,AI项目集!$C$2:$D$200,2,0)</f>
        <v>GYL022</v>
      </c>
      <c r="D23" s="2" t="s">
        <v>1212</v>
      </c>
      <c r="E23" s="2" t="s">
        <v>1213</v>
      </c>
      <c r="F23" s="2">
        <v>5.25</v>
      </c>
      <c r="G23" s="2">
        <v>0</v>
      </c>
      <c r="H23" s="2" t="s">
        <v>1200</v>
      </c>
      <c r="I23" s="2">
        <v>30</v>
      </c>
      <c r="J23" s="2" t="s">
        <v>1214</v>
      </c>
    </row>
    <row r="24" ht="84" spans="1:10">
      <c r="A24" s="2">
        <v>23</v>
      </c>
      <c r="B24" s="2" t="s">
        <v>231</v>
      </c>
      <c r="C24" s="2" t="str">
        <f>VLOOKUP(B24,AI项目集!$C$2:$D$200,2,0)</f>
        <v>GYL023</v>
      </c>
      <c r="D24" s="2" t="s">
        <v>1209</v>
      </c>
      <c r="E24" s="2" t="s">
        <v>1210</v>
      </c>
      <c r="F24" s="2">
        <v>2.5</v>
      </c>
      <c r="G24" s="2">
        <v>0</v>
      </c>
      <c r="H24" s="2" t="s">
        <v>1189</v>
      </c>
      <c r="I24" s="2">
        <v>20</v>
      </c>
      <c r="J24" s="2" t="s">
        <v>1211</v>
      </c>
    </row>
    <row r="25" ht="98" spans="1:10">
      <c r="A25" s="2">
        <v>24</v>
      </c>
      <c r="B25" s="2" t="s">
        <v>240</v>
      </c>
      <c r="C25" s="2" t="str">
        <f>VLOOKUP(B25,AI项目集!$C$2:$D$200,2,0)</f>
        <v>GYL024</v>
      </c>
      <c r="D25" s="2" t="s">
        <v>1230</v>
      </c>
      <c r="E25" s="2" t="s">
        <v>1231</v>
      </c>
      <c r="F25" s="2">
        <v>11.25</v>
      </c>
      <c r="G25" s="2">
        <v>11.25</v>
      </c>
      <c r="H25" s="2" t="s">
        <v>1193</v>
      </c>
      <c r="I25" s="2">
        <v>70</v>
      </c>
      <c r="J25" s="2" t="s">
        <v>1232</v>
      </c>
    </row>
    <row r="26" ht="98" spans="1:10">
      <c r="A26" s="2">
        <v>25</v>
      </c>
      <c r="B26" s="2" t="s">
        <v>248</v>
      </c>
      <c r="C26" s="2" t="str">
        <f>VLOOKUP(B26,AI项目集!$C$2:$D$200,2,0)</f>
        <v>GYL025</v>
      </c>
      <c r="D26" s="2" t="s">
        <v>1233</v>
      </c>
      <c r="E26" s="2" t="s">
        <v>1234</v>
      </c>
      <c r="F26" s="2">
        <v>8.25</v>
      </c>
      <c r="G26" s="2">
        <v>0</v>
      </c>
      <c r="H26" s="2" t="s">
        <v>1200</v>
      </c>
      <c r="I26" s="2">
        <v>50</v>
      </c>
      <c r="J26" s="2" t="s">
        <v>1235</v>
      </c>
    </row>
    <row r="27" ht="98" spans="1:10">
      <c r="A27" s="2">
        <v>26</v>
      </c>
      <c r="B27" s="2" t="s">
        <v>256</v>
      </c>
      <c r="C27" s="2" t="str">
        <f>VLOOKUP(B27,AI项目集!$C$2:$D$200,2,0)</f>
        <v>GYL026</v>
      </c>
      <c r="D27" s="2" t="s">
        <v>1236</v>
      </c>
      <c r="E27" s="2" t="s">
        <v>1237</v>
      </c>
      <c r="F27" s="2">
        <v>14.25</v>
      </c>
      <c r="G27" s="2">
        <v>16.75</v>
      </c>
      <c r="H27" s="2" t="s">
        <v>1193</v>
      </c>
      <c r="I27" s="2">
        <v>90</v>
      </c>
      <c r="J27" s="2" t="s">
        <v>1238</v>
      </c>
    </row>
    <row r="28" ht="98" spans="1:10">
      <c r="A28" s="2">
        <v>27</v>
      </c>
      <c r="B28" s="2" t="s">
        <v>265</v>
      </c>
      <c r="C28" s="2" t="str">
        <f>VLOOKUP(B28,AI项目集!$C$2:$D$200,2,0)</f>
        <v>GYL027</v>
      </c>
      <c r="D28" s="2" t="s">
        <v>1191</v>
      </c>
      <c r="E28" s="2" t="s">
        <v>1192</v>
      </c>
      <c r="F28" s="2">
        <v>10.5</v>
      </c>
      <c r="G28" s="2">
        <v>10.5</v>
      </c>
      <c r="H28" s="2" t="s">
        <v>1193</v>
      </c>
      <c r="I28" s="2">
        <v>70</v>
      </c>
      <c r="J28" s="2" t="s">
        <v>1194</v>
      </c>
    </row>
    <row r="29" ht="98" spans="1:10">
      <c r="A29" s="2">
        <v>28</v>
      </c>
      <c r="B29" s="2" t="s">
        <v>274</v>
      </c>
      <c r="C29" s="2" t="str">
        <f>VLOOKUP(B29,AI项目集!$C$2:$D$200,2,0)</f>
        <v>GYL028</v>
      </c>
      <c r="D29" s="2" t="s">
        <v>1215</v>
      </c>
      <c r="E29" s="2" t="s">
        <v>1216</v>
      </c>
      <c r="F29" s="2">
        <v>7.5</v>
      </c>
      <c r="G29" s="2">
        <v>0</v>
      </c>
      <c r="H29" s="2" t="s">
        <v>1200</v>
      </c>
      <c r="I29" s="2">
        <v>50</v>
      </c>
      <c r="J29" s="2" t="s">
        <v>1217</v>
      </c>
    </row>
    <row r="30" ht="84" spans="1:10">
      <c r="A30" s="2">
        <v>29</v>
      </c>
      <c r="B30" s="2" t="s">
        <v>963</v>
      </c>
      <c r="C30" s="2" t="str">
        <f>VLOOKUP(B30,AI项目集!$C$2:$D$200,2,0)</f>
        <v>YY134</v>
      </c>
      <c r="D30" s="2" t="s">
        <v>1239</v>
      </c>
      <c r="E30" s="2" t="s">
        <v>1240</v>
      </c>
      <c r="F30" s="2">
        <v>0</v>
      </c>
      <c r="G30" s="2">
        <v>0</v>
      </c>
      <c r="H30" s="2" t="s">
        <v>1185</v>
      </c>
      <c r="I30" s="2">
        <v>20</v>
      </c>
      <c r="J30" s="2" t="s">
        <v>1241</v>
      </c>
    </row>
    <row r="31" ht="98" spans="1:10">
      <c r="A31" s="2">
        <v>30</v>
      </c>
      <c r="B31" s="2" t="s">
        <v>319</v>
      </c>
      <c r="C31" s="2" t="str">
        <f>VLOOKUP(B31,AI项目集!$C$2:$D$200,2,0)</f>
        <v>WL001</v>
      </c>
      <c r="D31" s="2" t="s">
        <v>1236</v>
      </c>
      <c r="E31" s="2" t="s">
        <v>1237</v>
      </c>
      <c r="F31" s="2">
        <v>14.25</v>
      </c>
      <c r="G31" s="2">
        <v>16.75</v>
      </c>
      <c r="H31" s="2" t="s">
        <v>1193</v>
      </c>
      <c r="I31" s="2">
        <v>90</v>
      </c>
      <c r="J31" s="2" t="s">
        <v>1238</v>
      </c>
    </row>
    <row r="32" ht="84" spans="1:10">
      <c r="A32" s="2">
        <v>31</v>
      </c>
      <c r="B32" s="2" t="s">
        <v>329</v>
      </c>
      <c r="C32" s="2" t="str">
        <f>VLOOKUP(B32,AI项目集!$C$2:$D$200,2,0)</f>
        <v>WL002</v>
      </c>
      <c r="D32" s="2" t="s">
        <v>1187</v>
      </c>
      <c r="E32" s="2" t="s">
        <v>1188</v>
      </c>
      <c r="F32" s="2">
        <v>3</v>
      </c>
      <c r="G32" s="2">
        <v>0</v>
      </c>
      <c r="H32" s="2" t="s">
        <v>1189</v>
      </c>
      <c r="I32" s="2">
        <v>30</v>
      </c>
      <c r="J32" s="2" t="s">
        <v>1190</v>
      </c>
    </row>
    <row r="33" ht="98" spans="1:10">
      <c r="A33" s="2">
        <v>32</v>
      </c>
      <c r="B33" s="2" t="s">
        <v>337</v>
      </c>
      <c r="C33" s="2" t="str">
        <f>VLOOKUP(B33,AI项目集!$C$2:$D$200,2,0)</f>
        <v>WL003</v>
      </c>
      <c r="D33" s="2" t="s">
        <v>1195</v>
      </c>
      <c r="E33" s="2" t="s">
        <v>1196</v>
      </c>
      <c r="F33" s="2">
        <v>9.75</v>
      </c>
      <c r="G33" s="2">
        <v>9.75</v>
      </c>
      <c r="H33" s="2" t="s">
        <v>1193</v>
      </c>
      <c r="I33" s="2">
        <v>60</v>
      </c>
      <c r="J33" s="2" t="s">
        <v>1197</v>
      </c>
    </row>
    <row r="34" ht="84" spans="1:10">
      <c r="A34" s="2">
        <v>33</v>
      </c>
      <c r="B34" s="2" t="s">
        <v>345</v>
      </c>
      <c r="C34" s="2" t="str">
        <f>VLOOKUP(B34,AI项目集!$C$2:$D$200,2,0)</f>
        <v>WL004</v>
      </c>
      <c r="D34" s="2" t="s">
        <v>1209</v>
      </c>
      <c r="E34" s="2" t="s">
        <v>1210</v>
      </c>
      <c r="F34" s="2">
        <v>2.5</v>
      </c>
      <c r="G34" s="2">
        <v>0</v>
      </c>
      <c r="H34" s="2" t="s">
        <v>1189</v>
      </c>
      <c r="I34" s="2">
        <v>20</v>
      </c>
      <c r="J34" s="2" t="s">
        <v>1211</v>
      </c>
    </row>
    <row r="35" ht="84" spans="1:10">
      <c r="A35" s="2">
        <v>34</v>
      </c>
      <c r="B35" s="2" t="s">
        <v>353</v>
      </c>
      <c r="C35" s="2" t="str">
        <f>VLOOKUP(B35,AI项目集!$C$2:$D$200,2,0)</f>
        <v>WL005</v>
      </c>
      <c r="D35" s="2" t="s">
        <v>1187</v>
      </c>
      <c r="E35" s="2" t="s">
        <v>1188</v>
      </c>
      <c r="F35" s="2">
        <v>3</v>
      </c>
      <c r="G35" s="2">
        <v>0</v>
      </c>
      <c r="H35" s="2" t="s">
        <v>1189</v>
      </c>
      <c r="I35" s="2">
        <v>30</v>
      </c>
      <c r="J35" s="2" t="s">
        <v>1190</v>
      </c>
    </row>
    <row r="36" ht="98" spans="1:10">
      <c r="A36" s="2">
        <v>35</v>
      </c>
      <c r="B36" s="2" t="s">
        <v>1162</v>
      </c>
      <c r="C36" s="2" t="str">
        <f>VLOOKUP(B36,AI项目集!$C$2:$D$200,2,0)</f>
        <v>WL006</v>
      </c>
      <c r="D36" s="2" t="s">
        <v>1236</v>
      </c>
      <c r="E36" s="2" t="s">
        <v>1242</v>
      </c>
      <c r="F36" s="2">
        <v>15</v>
      </c>
      <c r="G36" s="2">
        <v>40</v>
      </c>
      <c r="H36" s="2" t="s">
        <v>1193</v>
      </c>
      <c r="I36" s="2">
        <v>100</v>
      </c>
      <c r="J36" s="2" t="s">
        <v>1243</v>
      </c>
    </row>
    <row r="37" ht="84" spans="1:10">
      <c r="A37" s="2">
        <v>36</v>
      </c>
      <c r="B37" s="2" t="s">
        <v>370</v>
      </c>
      <c r="C37" s="2" t="str">
        <f>VLOOKUP(B37,AI项目集!$C$2:$D$200,2,0)</f>
        <v>WL007</v>
      </c>
      <c r="D37" s="2" t="s">
        <v>1187</v>
      </c>
      <c r="E37" s="2" t="s">
        <v>1188</v>
      </c>
      <c r="F37" s="2">
        <v>3</v>
      </c>
      <c r="G37" s="2">
        <v>0</v>
      </c>
      <c r="H37" s="2" t="s">
        <v>1189</v>
      </c>
      <c r="I37" s="2">
        <v>30</v>
      </c>
      <c r="J37" s="2" t="s">
        <v>1190</v>
      </c>
    </row>
    <row r="38" ht="98" spans="1:10">
      <c r="A38" s="2">
        <v>37</v>
      </c>
      <c r="B38" s="2" t="s">
        <v>378</v>
      </c>
      <c r="C38" s="2" t="str">
        <f>VLOOKUP(B38,AI项目集!$C$2:$D$200,2,0)</f>
        <v>WL008</v>
      </c>
      <c r="D38" s="2" t="s">
        <v>1212</v>
      </c>
      <c r="E38" s="2" t="s">
        <v>1213</v>
      </c>
      <c r="F38" s="2">
        <v>5.25</v>
      </c>
      <c r="G38" s="2">
        <v>0</v>
      </c>
      <c r="H38" s="2" t="s">
        <v>1200</v>
      </c>
      <c r="I38" s="2">
        <v>35</v>
      </c>
      <c r="J38" s="2" t="s">
        <v>1214</v>
      </c>
    </row>
    <row r="39" ht="98" spans="1:10">
      <c r="A39" s="2">
        <v>38</v>
      </c>
      <c r="B39" s="2" t="s">
        <v>386</v>
      </c>
      <c r="C39" s="2" t="str">
        <f>VLOOKUP(B39,AI项目集!$C$2:$D$200,2,0)</f>
        <v>WL009</v>
      </c>
      <c r="D39" s="2" t="s">
        <v>1215</v>
      </c>
      <c r="E39" s="2" t="s">
        <v>1216</v>
      </c>
      <c r="F39" s="2">
        <v>7.5</v>
      </c>
      <c r="G39" s="2">
        <v>0</v>
      </c>
      <c r="H39" s="2" t="s">
        <v>1200</v>
      </c>
      <c r="I39" s="2">
        <v>50</v>
      </c>
      <c r="J39" s="2" t="s">
        <v>1217</v>
      </c>
    </row>
    <row r="40" ht="84" spans="1:10">
      <c r="A40" s="2">
        <v>39</v>
      </c>
      <c r="B40" s="2" t="s">
        <v>395</v>
      </c>
      <c r="C40" s="2" t="str">
        <f>VLOOKUP(B40,AI项目集!$C$2:$D$200,2,0)</f>
        <v>WL010</v>
      </c>
      <c r="D40" s="2" t="s">
        <v>1187</v>
      </c>
      <c r="E40" s="2" t="s">
        <v>1188</v>
      </c>
      <c r="F40" s="2">
        <v>3</v>
      </c>
      <c r="G40" s="2">
        <v>0</v>
      </c>
      <c r="H40" s="2" t="s">
        <v>1189</v>
      </c>
      <c r="I40" s="2">
        <v>30</v>
      </c>
      <c r="J40" s="2" t="s">
        <v>1190</v>
      </c>
    </row>
    <row r="41" ht="84" spans="1:10">
      <c r="A41" s="2">
        <v>40</v>
      </c>
      <c r="B41" s="2" t="s">
        <v>403</v>
      </c>
      <c r="C41" s="2" t="str">
        <f>VLOOKUP(B41,AI项目集!$C$2:$D$200,2,0)</f>
        <v>WL011</v>
      </c>
      <c r="D41" s="2" t="s">
        <v>1209</v>
      </c>
      <c r="E41" s="2" t="s">
        <v>1210</v>
      </c>
      <c r="F41" s="2">
        <v>2.5</v>
      </c>
      <c r="G41" s="2">
        <v>0</v>
      </c>
      <c r="H41" s="2" t="s">
        <v>1189</v>
      </c>
      <c r="I41" s="2">
        <v>25</v>
      </c>
      <c r="J41" s="2" t="s">
        <v>1211</v>
      </c>
    </row>
    <row r="42" ht="98" spans="1:10">
      <c r="A42" s="2">
        <v>41</v>
      </c>
      <c r="B42" s="2" t="s">
        <v>410</v>
      </c>
      <c r="C42" s="2" t="str">
        <f>VLOOKUP(B42,AI项目集!$C$2:$D$200,2,0)</f>
        <v>WL012</v>
      </c>
      <c r="D42" s="2" t="s">
        <v>1212</v>
      </c>
      <c r="E42" s="2" t="s">
        <v>1213</v>
      </c>
      <c r="F42" s="2">
        <v>5.25</v>
      </c>
      <c r="G42" s="2">
        <v>0</v>
      </c>
      <c r="H42" s="2" t="s">
        <v>1200</v>
      </c>
      <c r="I42" s="2">
        <v>35</v>
      </c>
      <c r="J42" s="2" t="s">
        <v>1214</v>
      </c>
    </row>
    <row r="43" ht="98" spans="1:10">
      <c r="A43" s="2">
        <v>42</v>
      </c>
      <c r="B43" s="2" t="s">
        <v>417</v>
      </c>
      <c r="C43" s="2" t="str">
        <f>VLOOKUP(B43,AI项目集!$C$2:$D$200,2,0)</f>
        <v>WL013</v>
      </c>
      <c r="D43" s="2" t="s">
        <v>1215</v>
      </c>
      <c r="E43" s="2" t="s">
        <v>1216</v>
      </c>
      <c r="F43" s="2">
        <v>7.5</v>
      </c>
      <c r="G43" s="2">
        <v>0</v>
      </c>
      <c r="H43" s="2" t="s">
        <v>1200</v>
      </c>
      <c r="I43" s="2">
        <v>50</v>
      </c>
      <c r="J43" s="2" t="s">
        <v>1217</v>
      </c>
    </row>
    <row r="44" ht="84" spans="1:10">
      <c r="A44" s="2">
        <v>43</v>
      </c>
      <c r="B44" s="2" t="s">
        <v>425</v>
      </c>
      <c r="C44" s="2" t="str">
        <f>VLOOKUP(B44,AI项目集!$C$2:$D$200,2,0)</f>
        <v>WL014</v>
      </c>
      <c r="D44" s="2" t="s">
        <v>1209</v>
      </c>
      <c r="E44" s="2" t="s">
        <v>1210</v>
      </c>
      <c r="F44" s="2">
        <v>2.5</v>
      </c>
      <c r="G44" s="2">
        <v>0</v>
      </c>
      <c r="H44" s="2" t="s">
        <v>1189</v>
      </c>
      <c r="I44" s="2">
        <v>25</v>
      </c>
      <c r="J44" s="2" t="s">
        <v>1211</v>
      </c>
    </row>
    <row r="45" ht="98" spans="1:10">
      <c r="A45" s="2">
        <v>44</v>
      </c>
      <c r="B45" s="2" t="s">
        <v>432</v>
      </c>
      <c r="C45" s="2" t="str">
        <f>VLOOKUP(B45,AI项目集!$C$2:$D$200,2,0)</f>
        <v>WL015</v>
      </c>
      <c r="D45" s="2" t="s">
        <v>1198</v>
      </c>
      <c r="E45" s="2" t="s">
        <v>1199</v>
      </c>
      <c r="F45" s="2">
        <v>9</v>
      </c>
      <c r="G45" s="2">
        <v>1</v>
      </c>
      <c r="H45" s="2" t="s">
        <v>1200</v>
      </c>
      <c r="I45" s="2">
        <v>60</v>
      </c>
      <c r="J45" s="2" t="s">
        <v>1201</v>
      </c>
    </row>
    <row r="46" ht="84" spans="1:10">
      <c r="A46" s="2">
        <v>45</v>
      </c>
      <c r="B46" s="2" t="s">
        <v>440</v>
      </c>
      <c r="C46" s="2" t="str">
        <f>VLOOKUP(B46,AI项目集!$C$2:$D$200,2,0)</f>
        <v>WL016</v>
      </c>
      <c r="D46" s="2" t="s">
        <v>1209</v>
      </c>
      <c r="E46" s="2" t="s">
        <v>1210</v>
      </c>
      <c r="F46" s="2">
        <v>2.5</v>
      </c>
      <c r="G46" s="2">
        <v>0</v>
      </c>
      <c r="H46" s="2" t="s">
        <v>1189</v>
      </c>
      <c r="I46" s="2">
        <v>25</v>
      </c>
      <c r="J46" s="2" t="s">
        <v>1211</v>
      </c>
    </row>
    <row r="47" ht="98" spans="1:10">
      <c r="A47" s="2">
        <v>46</v>
      </c>
      <c r="B47" s="2" t="s">
        <v>474</v>
      </c>
      <c r="C47" s="2" t="str">
        <f>VLOOKUP(B47,AI项目集!$C$2:$D$200,2,0)</f>
        <v>LS001</v>
      </c>
      <c r="D47" s="2" t="s">
        <v>1198</v>
      </c>
      <c r="E47" s="2" t="s">
        <v>1199</v>
      </c>
      <c r="F47" s="2">
        <v>9</v>
      </c>
      <c r="G47" s="2">
        <v>1</v>
      </c>
      <c r="H47" s="2" t="s">
        <v>1200</v>
      </c>
      <c r="I47" s="2">
        <v>60</v>
      </c>
      <c r="J47" s="2" t="s">
        <v>1201</v>
      </c>
    </row>
    <row r="48" ht="98" spans="1:10">
      <c r="A48" s="2">
        <v>47</v>
      </c>
      <c r="B48" s="2" t="s">
        <v>483</v>
      </c>
      <c r="C48" s="2" t="str">
        <f>VLOOKUP(B48,AI项目集!$C$2:$D$200,2,0)</f>
        <v>LS002</v>
      </c>
      <c r="D48" s="2" t="s">
        <v>1215</v>
      </c>
      <c r="E48" s="2" t="s">
        <v>1216</v>
      </c>
      <c r="F48" s="2">
        <v>7.5</v>
      </c>
      <c r="G48" s="2">
        <v>0</v>
      </c>
      <c r="H48" s="2" t="s">
        <v>1200</v>
      </c>
      <c r="I48" s="2">
        <v>50</v>
      </c>
      <c r="J48" s="2" t="s">
        <v>1217</v>
      </c>
    </row>
    <row r="49" ht="84" spans="1:10">
      <c r="A49" s="2">
        <v>48</v>
      </c>
      <c r="B49" s="2" t="s">
        <v>491</v>
      </c>
      <c r="C49" s="2" t="str">
        <f>VLOOKUP(B49,AI项目集!$C$2:$D$200,2,0)</f>
        <v>LS003</v>
      </c>
      <c r="D49" s="2" t="s">
        <v>1187</v>
      </c>
      <c r="E49" s="2" t="s">
        <v>1188</v>
      </c>
      <c r="F49" s="2">
        <v>3</v>
      </c>
      <c r="G49" s="2">
        <v>0</v>
      </c>
      <c r="H49" s="2" t="s">
        <v>1189</v>
      </c>
      <c r="I49" s="2">
        <v>30</v>
      </c>
      <c r="J49" s="2" t="s">
        <v>1190</v>
      </c>
    </row>
    <row r="50" ht="84" spans="1:10">
      <c r="A50" s="2">
        <v>49</v>
      </c>
      <c r="B50" s="2" t="s">
        <v>500</v>
      </c>
      <c r="C50" s="2" t="str">
        <f>VLOOKUP(B50,AI项目集!$C$2:$D$200,2,0)</f>
        <v>LS004</v>
      </c>
      <c r="D50" s="2" t="s">
        <v>1209</v>
      </c>
      <c r="E50" s="2" t="s">
        <v>1210</v>
      </c>
      <c r="F50" s="2">
        <v>2.5</v>
      </c>
      <c r="G50" s="2">
        <v>0</v>
      </c>
      <c r="H50" s="2" t="s">
        <v>1189</v>
      </c>
      <c r="I50" s="2">
        <v>25</v>
      </c>
      <c r="J50" s="2" t="s">
        <v>1211</v>
      </c>
    </row>
    <row r="51" ht="98" spans="1:10">
      <c r="A51" s="2">
        <v>50</v>
      </c>
      <c r="B51" s="2" t="s">
        <v>507</v>
      </c>
      <c r="C51" s="2" t="str">
        <f>VLOOKUP(B51,AI项目集!$C$2:$D$200,2,0)</f>
        <v>LS005</v>
      </c>
      <c r="D51" s="2" t="s">
        <v>1195</v>
      </c>
      <c r="E51" s="2" t="s">
        <v>1196</v>
      </c>
      <c r="F51" s="2">
        <v>9.75</v>
      </c>
      <c r="G51" s="2">
        <v>9.75</v>
      </c>
      <c r="H51" s="2" t="s">
        <v>1193</v>
      </c>
      <c r="I51" s="2">
        <v>65</v>
      </c>
      <c r="J51" s="2" t="s">
        <v>1197</v>
      </c>
    </row>
    <row r="52" ht="98" spans="1:10">
      <c r="A52" s="2">
        <v>51</v>
      </c>
      <c r="B52" s="2" t="s">
        <v>515</v>
      </c>
      <c r="C52" s="2" t="str">
        <f>VLOOKUP(B52,AI项目集!$C$2:$D$200,2,0)</f>
        <v>LS006</v>
      </c>
      <c r="D52" s="2" t="s">
        <v>1191</v>
      </c>
      <c r="E52" s="2" t="s">
        <v>1192</v>
      </c>
      <c r="F52" s="2">
        <v>10.5</v>
      </c>
      <c r="G52" s="2">
        <v>10.5</v>
      </c>
      <c r="H52" s="2" t="s">
        <v>1193</v>
      </c>
      <c r="I52" s="2">
        <v>70</v>
      </c>
      <c r="J52" s="2" t="s">
        <v>1194</v>
      </c>
    </row>
    <row r="53" ht="98" spans="1:10">
      <c r="A53" s="2">
        <v>52</v>
      </c>
      <c r="B53" s="2" t="s">
        <v>523</v>
      </c>
      <c r="C53" s="2" t="str">
        <f>VLOOKUP(B53,AI项目集!$C$2:$D$200,2,0)</f>
        <v>LS007</v>
      </c>
      <c r="D53" s="2" t="s">
        <v>1230</v>
      </c>
      <c r="E53" s="2" t="s">
        <v>1231</v>
      </c>
      <c r="F53" s="2">
        <v>11.25</v>
      </c>
      <c r="G53" s="2">
        <v>11.25</v>
      </c>
      <c r="H53" s="2" t="s">
        <v>1193</v>
      </c>
      <c r="I53" s="2">
        <v>75</v>
      </c>
      <c r="J53" s="2" t="s">
        <v>1232</v>
      </c>
    </row>
    <row r="54" ht="98" spans="1:10">
      <c r="A54" s="2">
        <v>53</v>
      </c>
      <c r="B54" s="2" t="s">
        <v>531</v>
      </c>
      <c r="C54" s="2" t="str">
        <f>VLOOKUP(B54,AI项目集!$C$2:$D$200,2,0)</f>
        <v>LS008</v>
      </c>
      <c r="D54" s="2" t="s">
        <v>1244</v>
      </c>
      <c r="E54" s="2" t="s">
        <v>1245</v>
      </c>
      <c r="F54" s="2">
        <v>6</v>
      </c>
      <c r="G54" s="2">
        <v>0</v>
      </c>
      <c r="H54" s="2" t="s">
        <v>1200</v>
      </c>
      <c r="I54" s="2">
        <v>40</v>
      </c>
      <c r="J54" s="2" t="s">
        <v>1246</v>
      </c>
    </row>
    <row r="55" ht="98" spans="1:10">
      <c r="A55" s="2">
        <v>54</v>
      </c>
      <c r="B55" s="2" t="s">
        <v>538</v>
      </c>
      <c r="C55" s="2" t="str">
        <f>VLOOKUP(B55,AI项目集!$C$2:$D$200,2,0)</f>
        <v>LS009</v>
      </c>
      <c r="D55" s="2" t="s">
        <v>1212</v>
      </c>
      <c r="E55" s="2" t="s">
        <v>1213</v>
      </c>
      <c r="F55" s="2">
        <v>5.25</v>
      </c>
      <c r="G55" s="2">
        <v>0</v>
      </c>
      <c r="H55" s="2" t="s">
        <v>1200</v>
      </c>
      <c r="I55" s="2">
        <v>35</v>
      </c>
      <c r="J55" s="2" t="s">
        <v>1214</v>
      </c>
    </row>
    <row r="56" ht="84" spans="1:10">
      <c r="A56" s="2">
        <v>55</v>
      </c>
      <c r="B56" s="2" t="s">
        <v>545</v>
      </c>
      <c r="C56" s="2" t="str">
        <f>VLOOKUP(B56,AI项目集!$C$2:$D$200,2,0)</f>
        <v>LS010</v>
      </c>
      <c r="D56" s="2" t="s">
        <v>1209</v>
      </c>
      <c r="E56" s="2" t="s">
        <v>1210</v>
      </c>
      <c r="F56" s="2">
        <v>2.5</v>
      </c>
      <c r="G56" s="2">
        <v>0</v>
      </c>
      <c r="H56" s="2" t="s">
        <v>1189</v>
      </c>
      <c r="I56" s="2">
        <v>25</v>
      </c>
      <c r="J56" s="2" t="s">
        <v>1211</v>
      </c>
    </row>
    <row r="57" ht="98" spans="1:10">
      <c r="A57" s="2">
        <v>56</v>
      </c>
      <c r="B57" s="2" t="s">
        <v>552</v>
      </c>
      <c r="C57" s="2" t="str">
        <f>VLOOKUP(B57,AI项目集!$C$2:$D$200,2,0)</f>
        <v>LS011</v>
      </c>
      <c r="D57" s="2" t="s">
        <v>1215</v>
      </c>
      <c r="E57" s="2" t="s">
        <v>1216</v>
      </c>
      <c r="F57" s="2">
        <v>7.5</v>
      </c>
      <c r="G57" s="2">
        <v>0</v>
      </c>
      <c r="H57" s="2" t="s">
        <v>1200</v>
      </c>
      <c r="I57" s="2">
        <v>50</v>
      </c>
      <c r="J57" s="2" t="s">
        <v>1217</v>
      </c>
    </row>
    <row r="58" ht="98" spans="1:10">
      <c r="A58" s="2">
        <v>57</v>
      </c>
      <c r="B58" s="2" t="s">
        <v>559</v>
      </c>
      <c r="C58" s="2" t="str">
        <f>VLOOKUP(B58,AI项目集!$C$2:$D$200,2,0)</f>
        <v>LS012</v>
      </c>
      <c r="D58" s="2" t="s">
        <v>1215</v>
      </c>
      <c r="E58" s="2" t="s">
        <v>1216</v>
      </c>
      <c r="F58" s="2">
        <v>7.5</v>
      </c>
      <c r="G58" s="2">
        <v>0</v>
      </c>
      <c r="H58" s="2" t="s">
        <v>1200</v>
      </c>
      <c r="I58" s="2">
        <v>50</v>
      </c>
      <c r="J58" s="2" t="s">
        <v>1217</v>
      </c>
    </row>
    <row r="59" ht="98" spans="1:10">
      <c r="A59" s="2">
        <v>58</v>
      </c>
      <c r="B59" s="2" t="s">
        <v>566</v>
      </c>
      <c r="C59" s="2" t="str">
        <f>VLOOKUP(B59,AI项目集!$C$2:$D$200,2,0)</f>
        <v>LS013</v>
      </c>
      <c r="D59" s="2" t="s">
        <v>1191</v>
      </c>
      <c r="E59" s="2" t="s">
        <v>1192</v>
      </c>
      <c r="F59" s="2">
        <v>10.5</v>
      </c>
      <c r="G59" s="2">
        <v>10.5</v>
      </c>
      <c r="H59" s="2" t="s">
        <v>1193</v>
      </c>
      <c r="I59" s="2">
        <v>70</v>
      </c>
      <c r="J59" s="2" t="s">
        <v>1194</v>
      </c>
    </row>
    <row r="60" ht="98" spans="1:10">
      <c r="A60" s="2">
        <v>59</v>
      </c>
      <c r="B60" s="2" t="s">
        <v>574</v>
      </c>
      <c r="C60" s="2" t="str">
        <f>VLOOKUP(B60,AI项目集!$C$2:$D$200,2,0)</f>
        <v>LS014</v>
      </c>
      <c r="D60" s="2" t="s">
        <v>1212</v>
      </c>
      <c r="E60" s="2" t="s">
        <v>1213</v>
      </c>
      <c r="F60" s="2">
        <v>5.25</v>
      </c>
      <c r="G60" s="2">
        <v>0</v>
      </c>
      <c r="H60" s="2" t="s">
        <v>1200</v>
      </c>
      <c r="I60" s="2">
        <v>35</v>
      </c>
      <c r="J60" s="2" t="s">
        <v>1214</v>
      </c>
    </row>
    <row r="61" ht="98" spans="1:10">
      <c r="A61" s="2">
        <v>60</v>
      </c>
      <c r="B61" s="2" t="s">
        <v>582</v>
      </c>
      <c r="C61" s="2" t="str">
        <f>VLOOKUP(B61,AI项目集!$C$2:$D$200,2,0)</f>
        <v>LS015</v>
      </c>
      <c r="D61" s="2" t="s">
        <v>1215</v>
      </c>
      <c r="E61" s="2" t="s">
        <v>1216</v>
      </c>
      <c r="F61" s="2">
        <v>7.5</v>
      </c>
      <c r="G61" s="2">
        <v>0</v>
      </c>
      <c r="H61" s="2" t="s">
        <v>1200</v>
      </c>
      <c r="I61" s="2">
        <v>50</v>
      </c>
      <c r="J61" s="2" t="s">
        <v>1217</v>
      </c>
    </row>
    <row r="62" ht="98" spans="1:10">
      <c r="A62" s="2">
        <v>61</v>
      </c>
      <c r="B62" s="2" t="s">
        <v>589</v>
      </c>
      <c r="C62" s="2" t="str">
        <f>VLOOKUP(B62,AI项目集!$C$2:$D$200,2,0)</f>
        <v>LS016</v>
      </c>
      <c r="D62" s="2" t="s">
        <v>1236</v>
      </c>
      <c r="E62" s="2" t="s">
        <v>1247</v>
      </c>
      <c r="F62" s="2">
        <v>15</v>
      </c>
      <c r="G62" s="2">
        <v>28</v>
      </c>
      <c r="H62" s="2" t="s">
        <v>1193</v>
      </c>
      <c r="I62" s="2">
        <v>110</v>
      </c>
      <c r="J62" s="2" t="s">
        <v>1248</v>
      </c>
    </row>
    <row r="63" ht="98" spans="1:10">
      <c r="A63" s="2">
        <v>62</v>
      </c>
      <c r="B63" s="2" t="s">
        <v>596</v>
      </c>
      <c r="C63" s="2" t="str">
        <f>VLOOKUP(B63,AI项目集!$C$2:$D$200,2,0)</f>
        <v>LS017</v>
      </c>
      <c r="D63" s="2" t="s">
        <v>1230</v>
      </c>
      <c r="E63" s="2" t="s">
        <v>1231</v>
      </c>
      <c r="F63" s="2">
        <v>11.25</v>
      </c>
      <c r="G63" s="2">
        <v>11.25</v>
      </c>
      <c r="H63" s="2" t="s">
        <v>1193</v>
      </c>
      <c r="I63" s="2">
        <v>75</v>
      </c>
      <c r="J63" s="2" t="s">
        <v>1232</v>
      </c>
    </row>
    <row r="64" ht="98" spans="1:10">
      <c r="A64" s="2">
        <v>63</v>
      </c>
      <c r="B64" s="2" t="s">
        <v>605</v>
      </c>
      <c r="C64" s="2" t="str">
        <f>VLOOKUP(B64,AI项目集!$C$2:$D$200,2,0)</f>
        <v>LS018</v>
      </c>
      <c r="D64" s="2" t="s">
        <v>1212</v>
      </c>
      <c r="E64" s="2" t="s">
        <v>1213</v>
      </c>
      <c r="F64" s="2">
        <v>5.25</v>
      </c>
      <c r="G64" s="2">
        <v>0</v>
      </c>
      <c r="H64" s="2" t="s">
        <v>1200</v>
      </c>
      <c r="I64" s="2">
        <v>35</v>
      </c>
      <c r="J64" s="2" t="s">
        <v>1214</v>
      </c>
    </row>
    <row r="65" ht="84" spans="1:10">
      <c r="A65" s="2">
        <v>64</v>
      </c>
      <c r="B65" s="2" t="s">
        <v>613</v>
      </c>
      <c r="C65" s="2" t="str">
        <f>VLOOKUP(B65,AI项目集!$C$2:$D$200,2,0)</f>
        <v>LS019</v>
      </c>
      <c r="D65" s="2" t="s">
        <v>1187</v>
      </c>
      <c r="E65" s="2" t="s">
        <v>1188</v>
      </c>
      <c r="F65" s="2">
        <v>3</v>
      </c>
      <c r="G65" s="2">
        <v>0</v>
      </c>
      <c r="H65" s="2" t="s">
        <v>1189</v>
      </c>
      <c r="I65" s="2">
        <v>30</v>
      </c>
      <c r="J65" s="2" t="s">
        <v>1190</v>
      </c>
    </row>
    <row r="66" ht="98" spans="1:10">
      <c r="A66" s="2">
        <v>65</v>
      </c>
      <c r="B66" s="2" t="s">
        <v>620</v>
      </c>
      <c r="C66" s="2" t="str">
        <f>VLOOKUP(B66,AI项目集!$C$2:$D$200,2,0)</f>
        <v>LS020</v>
      </c>
      <c r="D66" s="2" t="s">
        <v>1233</v>
      </c>
      <c r="E66" s="2" t="s">
        <v>1234</v>
      </c>
      <c r="F66" s="2">
        <v>8.25</v>
      </c>
      <c r="G66" s="2">
        <v>0</v>
      </c>
      <c r="H66" s="2" t="s">
        <v>1200</v>
      </c>
      <c r="I66" s="2">
        <v>50</v>
      </c>
      <c r="J66" s="2" t="s">
        <v>1235</v>
      </c>
    </row>
    <row r="67" ht="84" spans="1:10">
      <c r="A67" s="2">
        <v>66</v>
      </c>
      <c r="B67" s="2" t="s">
        <v>628</v>
      </c>
      <c r="C67" s="2" t="str">
        <f>VLOOKUP(B67,AI项目集!$C$2:$D$200,2,0)</f>
        <v>LS021</v>
      </c>
      <c r="D67" s="2" t="s">
        <v>1209</v>
      </c>
      <c r="E67" s="2" t="s">
        <v>1210</v>
      </c>
      <c r="F67" s="2">
        <v>2.5</v>
      </c>
      <c r="G67" s="2">
        <v>0</v>
      </c>
      <c r="H67" s="2" t="s">
        <v>1189</v>
      </c>
      <c r="I67" s="2">
        <v>25</v>
      </c>
      <c r="J67" s="2" t="s">
        <v>1211</v>
      </c>
    </row>
    <row r="68" ht="98" spans="1:10">
      <c r="A68" s="2">
        <v>67</v>
      </c>
      <c r="B68" s="2" t="s">
        <v>635</v>
      </c>
      <c r="C68" s="2" t="str">
        <f>VLOOKUP(B68,AI项目集!$C$2:$D$200,2,0)</f>
        <v>LS022</v>
      </c>
      <c r="D68" s="2" t="s">
        <v>1195</v>
      </c>
      <c r="E68" s="2" t="s">
        <v>1196</v>
      </c>
      <c r="F68" s="2">
        <v>9.75</v>
      </c>
      <c r="G68" s="2">
        <v>9.75</v>
      </c>
      <c r="H68" s="2" t="s">
        <v>1193</v>
      </c>
      <c r="I68" s="2">
        <v>60</v>
      </c>
      <c r="J68" s="2" t="s">
        <v>1197</v>
      </c>
    </row>
    <row r="69" ht="84" spans="1:10">
      <c r="A69" s="2">
        <v>68</v>
      </c>
      <c r="B69" s="2" t="s">
        <v>642</v>
      </c>
      <c r="C69" s="2" t="str">
        <f>VLOOKUP(B69,AI项目集!$C$2:$D$200,2,0)</f>
        <v>LS123</v>
      </c>
      <c r="D69" s="2" t="s">
        <v>1249</v>
      </c>
      <c r="E69" s="2" t="s">
        <v>1250</v>
      </c>
      <c r="F69" s="2">
        <v>0</v>
      </c>
      <c r="G69" s="2">
        <v>0</v>
      </c>
      <c r="H69" s="2" t="s">
        <v>1251</v>
      </c>
      <c r="I69" s="2">
        <v>20</v>
      </c>
      <c r="J69" s="2" t="s">
        <v>1252</v>
      </c>
    </row>
    <row r="70" ht="84" spans="1:10">
      <c r="A70" s="2">
        <v>69</v>
      </c>
      <c r="B70" s="2" t="s">
        <v>650</v>
      </c>
      <c r="C70" s="2" t="str">
        <f>VLOOKUP(B70,AI项目集!$C$2:$D$200,2,0)</f>
        <v>LS024</v>
      </c>
      <c r="D70" s="2" t="s">
        <v>1209</v>
      </c>
      <c r="E70" s="2" t="s">
        <v>1210</v>
      </c>
      <c r="F70" s="2">
        <v>2.5</v>
      </c>
      <c r="G70" s="2">
        <v>0</v>
      </c>
      <c r="H70" s="2" t="s">
        <v>1189</v>
      </c>
      <c r="I70" s="2">
        <v>20</v>
      </c>
      <c r="J70" s="2" t="s">
        <v>1211</v>
      </c>
    </row>
    <row r="71" ht="84" spans="1:10">
      <c r="A71" s="2">
        <v>70</v>
      </c>
      <c r="B71" s="2" t="s">
        <v>658</v>
      </c>
      <c r="C71" s="2" t="str">
        <f>VLOOKUP(B71,AI项目集!$C$2:$D$200,2,0)</f>
        <v>LS125</v>
      </c>
      <c r="D71" s="2" t="s">
        <v>1206</v>
      </c>
      <c r="E71" s="2" t="s">
        <v>1207</v>
      </c>
      <c r="F71" s="2">
        <v>0</v>
      </c>
      <c r="G71" s="2">
        <v>0</v>
      </c>
      <c r="H71" s="2" t="s">
        <v>1185</v>
      </c>
      <c r="I71" s="2">
        <v>40</v>
      </c>
      <c r="J71" s="2" t="s">
        <v>1253</v>
      </c>
    </row>
    <row r="72" ht="84" spans="1:10">
      <c r="A72" s="2">
        <v>71</v>
      </c>
      <c r="B72" s="2" t="s">
        <v>667</v>
      </c>
      <c r="C72" s="2" t="str">
        <f>VLOOKUP(B72,AI项目集!$C$2:$D$200,2,0)</f>
        <v>LS026</v>
      </c>
      <c r="D72" s="2" t="s">
        <v>1187</v>
      </c>
      <c r="E72" s="2" t="s">
        <v>1188</v>
      </c>
      <c r="F72" s="2">
        <v>3</v>
      </c>
      <c r="G72" s="2">
        <v>0</v>
      </c>
      <c r="H72" s="2" t="s">
        <v>1189</v>
      </c>
      <c r="I72" s="2">
        <v>30</v>
      </c>
      <c r="J72" s="2" t="s">
        <v>1190</v>
      </c>
    </row>
    <row r="73" ht="98" spans="1:10">
      <c r="A73" s="2">
        <v>72</v>
      </c>
      <c r="B73" s="2" t="s">
        <v>674</v>
      </c>
      <c r="C73" s="2" t="str">
        <f>VLOOKUP(B73,AI项目集!$C$2:$D$200,2,0)</f>
        <v>LS027</v>
      </c>
      <c r="D73" s="2" t="s">
        <v>1212</v>
      </c>
      <c r="E73" s="2" t="s">
        <v>1213</v>
      </c>
      <c r="F73" s="2">
        <v>5.25</v>
      </c>
      <c r="G73" s="2">
        <v>0</v>
      </c>
      <c r="H73" s="2" t="s">
        <v>1200</v>
      </c>
      <c r="I73" s="2">
        <v>35</v>
      </c>
      <c r="J73" s="2" t="s">
        <v>1214</v>
      </c>
    </row>
    <row r="74" ht="84" spans="1:10">
      <c r="A74" s="2">
        <v>73</v>
      </c>
      <c r="B74" s="2" t="s">
        <v>700</v>
      </c>
      <c r="C74" s="2" t="str">
        <f>VLOOKUP(B74,AI项目集!$C$2:$D$200,2,0)</f>
        <v>YY101</v>
      </c>
      <c r="D74" s="2" t="s">
        <v>1254</v>
      </c>
      <c r="E74" s="2" t="s">
        <v>1255</v>
      </c>
      <c r="F74" s="2">
        <v>0</v>
      </c>
      <c r="G74" s="2">
        <v>0</v>
      </c>
      <c r="H74" s="2" t="s">
        <v>1185</v>
      </c>
      <c r="I74" s="2">
        <v>30</v>
      </c>
      <c r="J74" s="2" t="s">
        <v>1256</v>
      </c>
    </row>
    <row r="75" ht="84" spans="1:10">
      <c r="A75" s="2">
        <v>74</v>
      </c>
      <c r="B75" s="2" t="s">
        <v>709</v>
      </c>
      <c r="C75" s="2" t="str">
        <f>VLOOKUP(B75,AI项目集!$C$2:$D$200,2,0)</f>
        <v>YY102</v>
      </c>
      <c r="D75" s="2" t="s">
        <v>1257</v>
      </c>
      <c r="E75" s="2" t="s">
        <v>1258</v>
      </c>
      <c r="F75" s="2">
        <v>0</v>
      </c>
      <c r="G75" s="2">
        <v>0</v>
      </c>
      <c r="H75" s="2" t="s">
        <v>1185</v>
      </c>
      <c r="I75" s="2">
        <v>50</v>
      </c>
      <c r="J75" s="2" t="s">
        <v>1259</v>
      </c>
    </row>
    <row r="76" ht="84" spans="1:10">
      <c r="A76" s="2">
        <v>75</v>
      </c>
      <c r="B76" s="2" t="s">
        <v>718</v>
      </c>
      <c r="C76" s="2" t="str">
        <f>VLOOKUP(B76,AI项目集!$C$2:$D$200,2,0)</f>
        <v>YY003</v>
      </c>
      <c r="D76" s="2" t="s">
        <v>1224</v>
      </c>
      <c r="E76" s="2" t="s">
        <v>1225</v>
      </c>
      <c r="F76" s="2">
        <v>2</v>
      </c>
      <c r="G76" s="2">
        <v>0</v>
      </c>
      <c r="H76" s="2" t="s">
        <v>1189</v>
      </c>
      <c r="I76" s="2">
        <v>20</v>
      </c>
      <c r="J76" s="2" t="s">
        <v>1226</v>
      </c>
    </row>
    <row r="77" ht="84" spans="1:10">
      <c r="A77" s="2">
        <v>76</v>
      </c>
      <c r="B77" s="2" t="s">
        <v>726</v>
      </c>
      <c r="C77" s="2" t="str">
        <f>VLOOKUP(B77,AI项目集!$C$2:$D$200,2,0)</f>
        <v>YY104</v>
      </c>
      <c r="D77" s="2" t="s">
        <v>1257</v>
      </c>
      <c r="E77" s="2" t="s">
        <v>1258</v>
      </c>
      <c r="F77" s="2">
        <v>0</v>
      </c>
      <c r="G77" s="2">
        <v>0</v>
      </c>
      <c r="H77" s="2" t="s">
        <v>1185</v>
      </c>
      <c r="I77" s="2">
        <v>50</v>
      </c>
      <c r="J77" s="2" t="s">
        <v>1259</v>
      </c>
    </row>
    <row r="78" ht="98" spans="1:10">
      <c r="A78" s="2">
        <v>77</v>
      </c>
      <c r="B78" s="2" t="s">
        <v>734</v>
      </c>
      <c r="C78" s="2" t="str">
        <f>VLOOKUP(B78,AI项目集!$C$2:$D$200,2,0)</f>
        <v>YY005</v>
      </c>
      <c r="D78" s="2" t="s">
        <v>1230</v>
      </c>
      <c r="E78" s="2" t="s">
        <v>1231</v>
      </c>
      <c r="F78" s="2">
        <v>11.25</v>
      </c>
      <c r="G78" s="2">
        <v>11.25</v>
      </c>
      <c r="H78" s="2" t="s">
        <v>1193</v>
      </c>
      <c r="I78" s="2">
        <v>70</v>
      </c>
      <c r="J78" s="2" t="s">
        <v>1232</v>
      </c>
    </row>
    <row r="79" ht="84" spans="1:10">
      <c r="A79" s="2">
        <v>78</v>
      </c>
      <c r="B79" s="2" t="s">
        <v>742</v>
      </c>
      <c r="C79" s="2" t="str">
        <f>VLOOKUP(B79,AI项目集!$C$2:$D$200,2,0)</f>
        <v>YY006</v>
      </c>
      <c r="D79" s="2" t="s">
        <v>1187</v>
      </c>
      <c r="E79" s="2" t="s">
        <v>1188</v>
      </c>
      <c r="F79" s="2">
        <v>3</v>
      </c>
      <c r="G79" s="2">
        <v>0</v>
      </c>
      <c r="H79" s="2" t="s">
        <v>1189</v>
      </c>
      <c r="I79" s="2">
        <v>30</v>
      </c>
      <c r="J79" s="2" t="s">
        <v>1190</v>
      </c>
    </row>
    <row r="80" ht="84" spans="1:10">
      <c r="A80" s="2">
        <v>79</v>
      </c>
      <c r="B80" s="2" t="s">
        <v>749</v>
      </c>
      <c r="C80" s="2" t="str">
        <f>VLOOKUP(B80,AI项目集!$C$2:$D$200,2,0)</f>
        <v>YY007</v>
      </c>
      <c r="D80" s="2" t="s">
        <v>1187</v>
      </c>
      <c r="E80" s="2" t="s">
        <v>1188</v>
      </c>
      <c r="F80" s="2">
        <v>3</v>
      </c>
      <c r="G80" s="2">
        <v>0</v>
      </c>
      <c r="H80" s="2" t="s">
        <v>1189</v>
      </c>
      <c r="I80" s="2">
        <v>30</v>
      </c>
      <c r="J80" s="2" t="s">
        <v>1190</v>
      </c>
    </row>
    <row r="81" ht="84" spans="1:10">
      <c r="A81" s="2">
        <v>80</v>
      </c>
      <c r="B81" s="2" t="s">
        <v>757</v>
      </c>
      <c r="C81" s="2" t="str">
        <f>VLOOKUP(B81,AI项目集!$C$2:$D$200,2,0)</f>
        <v>YY008</v>
      </c>
      <c r="D81" s="2" t="s">
        <v>1209</v>
      </c>
      <c r="E81" s="2" t="s">
        <v>1210</v>
      </c>
      <c r="F81" s="2">
        <v>2.5</v>
      </c>
      <c r="G81" s="2">
        <v>0</v>
      </c>
      <c r="H81" s="2" t="s">
        <v>1189</v>
      </c>
      <c r="I81" s="2">
        <v>25</v>
      </c>
      <c r="J81" s="2" t="s">
        <v>1211</v>
      </c>
    </row>
    <row r="82" ht="98" spans="1:10">
      <c r="A82" s="2">
        <v>81</v>
      </c>
      <c r="B82" s="2" t="s">
        <v>764</v>
      </c>
      <c r="C82" s="2" t="str">
        <f>VLOOKUP(B82,AI项目集!$C$2:$D$200,2,0)</f>
        <v>YY009</v>
      </c>
      <c r="D82" s="2" t="s">
        <v>1244</v>
      </c>
      <c r="E82" s="2" t="s">
        <v>1245</v>
      </c>
      <c r="F82" s="2">
        <v>6</v>
      </c>
      <c r="G82" s="2">
        <v>0</v>
      </c>
      <c r="H82" s="2" t="s">
        <v>1200</v>
      </c>
      <c r="I82" s="2">
        <v>40</v>
      </c>
      <c r="J82" s="2" t="s">
        <v>1246</v>
      </c>
    </row>
    <row r="83" ht="84" spans="1:10">
      <c r="A83" s="2">
        <v>82</v>
      </c>
      <c r="B83" s="2" t="s">
        <v>771</v>
      </c>
      <c r="C83" s="2" t="str">
        <f>VLOOKUP(B83,AI项目集!$C$2:$D$200,2,0)</f>
        <v>YY010</v>
      </c>
      <c r="D83" s="2" t="s">
        <v>1187</v>
      </c>
      <c r="E83" s="2" t="s">
        <v>1188</v>
      </c>
      <c r="F83" s="2">
        <v>3</v>
      </c>
      <c r="G83" s="2">
        <v>0</v>
      </c>
      <c r="H83" s="2" t="s">
        <v>1189</v>
      </c>
      <c r="I83" s="2">
        <v>30</v>
      </c>
      <c r="J83" s="2" t="s">
        <v>1190</v>
      </c>
    </row>
    <row r="84" ht="84" spans="1:10">
      <c r="A84" s="2">
        <v>83</v>
      </c>
      <c r="B84" s="2" t="s">
        <v>778</v>
      </c>
      <c r="C84" s="2" t="str">
        <f>VLOOKUP(B84,AI项目集!$C$2:$D$200,2,0)</f>
        <v>YY011</v>
      </c>
      <c r="D84" s="2" t="s">
        <v>1209</v>
      </c>
      <c r="E84" s="2" t="s">
        <v>1210</v>
      </c>
      <c r="F84" s="2">
        <v>2.5</v>
      </c>
      <c r="G84" s="2">
        <v>0</v>
      </c>
      <c r="H84" s="2" t="s">
        <v>1189</v>
      </c>
      <c r="I84" s="2">
        <v>25</v>
      </c>
      <c r="J84" s="2" t="s">
        <v>1211</v>
      </c>
    </row>
    <row r="85" ht="98" spans="1:10">
      <c r="A85" s="2">
        <v>84</v>
      </c>
      <c r="B85" s="2" t="s">
        <v>785</v>
      </c>
      <c r="C85" s="2" t="str">
        <f>VLOOKUP(B85,AI项目集!$C$2:$D$200,2,0)</f>
        <v>YY012</v>
      </c>
      <c r="D85" s="2" t="s">
        <v>1233</v>
      </c>
      <c r="E85" s="2" t="s">
        <v>1234</v>
      </c>
      <c r="F85" s="2">
        <v>8.25</v>
      </c>
      <c r="G85" s="2">
        <v>0</v>
      </c>
      <c r="H85" s="2" t="s">
        <v>1200</v>
      </c>
      <c r="I85" s="2">
        <v>55</v>
      </c>
      <c r="J85" s="2" t="s">
        <v>1235</v>
      </c>
    </row>
    <row r="86" ht="98" spans="1:10">
      <c r="A86" s="2">
        <v>85</v>
      </c>
      <c r="B86" s="2" t="s">
        <v>794</v>
      </c>
      <c r="C86" s="2" t="str">
        <f>VLOOKUP(B86,AI项目集!$C$2:$D$200,2,0)</f>
        <v>YY013</v>
      </c>
      <c r="D86" s="2" t="s">
        <v>1244</v>
      </c>
      <c r="E86" s="2" t="s">
        <v>1245</v>
      </c>
      <c r="F86" s="2">
        <v>6</v>
      </c>
      <c r="G86" s="2">
        <v>0</v>
      </c>
      <c r="H86" s="2" t="s">
        <v>1200</v>
      </c>
      <c r="I86" s="2">
        <v>40</v>
      </c>
      <c r="J86" s="2" t="s">
        <v>1246</v>
      </c>
    </row>
    <row r="87" ht="98" spans="1:10">
      <c r="A87" s="2">
        <v>86</v>
      </c>
      <c r="B87" s="2" t="s">
        <v>802</v>
      </c>
      <c r="C87" s="2" t="str">
        <f>VLOOKUP(B87,AI项目集!$C$2:$D$200,2,0)</f>
        <v>YY014</v>
      </c>
      <c r="D87" s="2" t="s">
        <v>1195</v>
      </c>
      <c r="E87" s="2" t="s">
        <v>1196</v>
      </c>
      <c r="F87" s="2">
        <v>9.75</v>
      </c>
      <c r="G87" s="2">
        <v>9.75</v>
      </c>
      <c r="H87" s="2" t="s">
        <v>1193</v>
      </c>
      <c r="I87" s="2">
        <v>65</v>
      </c>
      <c r="J87" s="2" t="s">
        <v>1197</v>
      </c>
    </row>
    <row r="88" ht="84" spans="1:10">
      <c r="A88" s="2">
        <v>87</v>
      </c>
      <c r="B88" s="2" t="s">
        <v>810</v>
      </c>
      <c r="C88" s="2" t="str">
        <f>VLOOKUP(B88,AI项目集!$C$2:$D$200,2,0)</f>
        <v>YY015</v>
      </c>
      <c r="D88" s="2" t="s">
        <v>1187</v>
      </c>
      <c r="E88" s="2" t="s">
        <v>1188</v>
      </c>
      <c r="F88" s="2">
        <v>3</v>
      </c>
      <c r="G88" s="2">
        <v>0</v>
      </c>
      <c r="H88" s="2" t="s">
        <v>1189</v>
      </c>
      <c r="I88" s="2">
        <v>30</v>
      </c>
      <c r="J88" s="2" t="s">
        <v>1190</v>
      </c>
    </row>
    <row r="89" ht="84" spans="1:10">
      <c r="A89" s="2">
        <v>88</v>
      </c>
      <c r="B89" s="2" t="s">
        <v>817</v>
      </c>
      <c r="C89" s="2" t="str">
        <f>VLOOKUP(B89,AI项目集!$C$2:$D$200,2,0)</f>
        <v>YY016</v>
      </c>
      <c r="D89" s="2" t="s">
        <v>1209</v>
      </c>
      <c r="E89" s="2" t="s">
        <v>1210</v>
      </c>
      <c r="F89" s="2">
        <v>2.5</v>
      </c>
      <c r="G89" s="2">
        <v>0</v>
      </c>
      <c r="H89" s="2" t="s">
        <v>1189</v>
      </c>
      <c r="I89" s="2">
        <v>25</v>
      </c>
      <c r="J89" s="2" t="s">
        <v>1211</v>
      </c>
    </row>
    <row r="90" ht="98" spans="1:10">
      <c r="A90" s="2">
        <v>89</v>
      </c>
      <c r="B90" s="2" t="s">
        <v>824</v>
      </c>
      <c r="C90" s="2" t="str">
        <f>VLOOKUP(B90,AI项目集!$C$2:$D$200,2,0)</f>
        <v>YY017</v>
      </c>
      <c r="D90" s="2" t="s">
        <v>1215</v>
      </c>
      <c r="E90" s="2" t="s">
        <v>1216</v>
      </c>
      <c r="F90" s="2">
        <v>7.5</v>
      </c>
      <c r="G90" s="2">
        <v>0</v>
      </c>
      <c r="H90" s="2" t="s">
        <v>1200</v>
      </c>
      <c r="I90" s="2">
        <v>50</v>
      </c>
      <c r="J90" s="2" t="s">
        <v>1217</v>
      </c>
    </row>
    <row r="91" ht="98" spans="1:10">
      <c r="A91" s="2">
        <v>90</v>
      </c>
      <c r="B91" s="2" t="s">
        <v>831</v>
      </c>
      <c r="C91" s="2" t="str">
        <f>VLOOKUP(B91,AI项目集!$C$2:$D$200,2,0)</f>
        <v>YY018</v>
      </c>
      <c r="D91" s="2" t="s">
        <v>1198</v>
      </c>
      <c r="E91" s="2" t="s">
        <v>1199</v>
      </c>
      <c r="F91" s="2">
        <v>9</v>
      </c>
      <c r="G91" s="2">
        <v>1</v>
      </c>
      <c r="H91" s="2" t="s">
        <v>1200</v>
      </c>
      <c r="I91" s="2">
        <v>60</v>
      </c>
      <c r="J91" s="2" t="s">
        <v>1201</v>
      </c>
    </row>
    <row r="92" ht="98" spans="1:10">
      <c r="A92" s="2">
        <v>91</v>
      </c>
      <c r="B92" s="2" t="s">
        <v>840</v>
      </c>
      <c r="C92" s="2" t="str">
        <f>VLOOKUP(B92,AI项目集!$C$2:$D$200,2,0)</f>
        <v>YY019</v>
      </c>
      <c r="D92" s="2" t="s">
        <v>1198</v>
      </c>
      <c r="E92" s="2" t="s">
        <v>1199</v>
      </c>
      <c r="F92" s="2">
        <v>9</v>
      </c>
      <c r="G92" s="2">
        <v>1</v>
      </c>
      <c r="H92" s="2" t="s">
        <v>1200</v>
      </c>
      <c r="I92" s="2">
        <v>60</v>
      </c>
      <c r="J92" s="2" t="s">
        <v>1201</v>
      </c>
    </row>
    <row r="93" ht="98" spans="1:10">
      <c r="A93" s="2">
        <v>92</v>
      </c>
      <c r="B93" s="2" t="s">
        <v>848</v>
      </c>
      <c r="C93" s="2" t="str">
        <f>VLOOKUP(B93,AI项目集!$C$2:$D$200,2,0)</f>
        <v>YY020</v>
      </c>
      <c r="D93" s="2" t="s">
        <v>1233</v>
      </c>
      <c r="E93" s="2" t="s">
        <v>1234</v>
      </c>
      <c r="F93" s="2">
        <v>8.25</v>
      </c>
      <c r="G93" s="2">
        <v>0</v>
      </c>
      <c r="H93" s="2" t="s">
        <v>1200</v>
      </c>
      <c r="I93" s="2">
        <v>55</v>
      </c>
      <c r="J93" s="2" t="s">
        <v>1235</v>
      </c>
    </row>
    <row r="94" ht="98" spans="1:10">
      <c r="A94" s="2">
        <v>93</v>
      </c>
      <c r="B94" s="2" t="s">
        <v>856</v>
      </c>
      <c r="C94" s="2" t="str">
        <f>VLOOKUP(B94,AI项目集!$C$2:$D$200,2,0)</f>
        <v>YY021</v>
      </c>
      <c r="D94" s="2" t="s">
        <v>1244</v>
      </c>
      <c r="E94" s="2" t="s">
        <v>1245</v>
      </c>
      <c r="F94" s="2">
        <v>6</v>
      </c>
      <c r="G94" s="2">
        <v>0</v>
      </c>
      <c r="H94" s="2" t="s">
        <v>1200</v>
      </c>
      <c r="I94" s="2">
        <v>40</v>
      </c>
      <c r="J94" s="2" t="s">
        <v>1246</v>
      </c>
    </row>
    <row r="95" ht="84" spans="1:10">
      <c r="A95" s="2">
        <v>94</v>
      </c>
      <c r="B95" s="2" t="s">
        <v>865</v>
      </c>
      <c r="C95" s="2" t="str">
        <f>VLOOKUP(B95,AI项目集!$C$2:$D$200,2,0)</f>
        <v>YY022</v>
      </c>
      <c r="D95" s="2" t="s">
        <v>1187</v>
      </c>
      <c r="E95" s="2" t="s">
        <v>1188</v>
      </c>
      <c r="F95" s="2">
        <v>3</v>
      </c>
      <c r="G95" s="2">
        <v>0</v>
      </c>
      <c r="H95" s="2" t="s">
        <v>1189</v>
      </c>
      <c r="I95" s="2">
        <v>30</v>
      </c>
      <c r="J95" s="2" t="s">
        <v>1190</v>
      </c>
    </row>
    <row r="96" ht="98" spans="1:10">
      <c r="A96" s="2">
        <v>95</v>
      </c>
      <c r="B96" s="2" t="s">
        <v>873</v>
      </c>
      <c r="C96" s="2" t="str">
        <f>VLOOKUP(B96,AI项目集!$C$2:$D$200,2,0)</f>
        <v>YY023</v>
      </c>
      <c r="D96" s="2" t="s">
        <v>1195</v>
      </c>
      <c r="E96" s="2" t="s">
        <v>1196</v>
      </c>
      <c r="F96" s="2">
        <v>9.75</v>
      </c>
      <c r="G96" s="2">
        <v>9.75</v>
      </c>
      <c r="H96" s="2" t="s">
        <v>1193</v>
      </c>
      <c r="I96" s="2">
        <v>60</v>
      </c>
      <c r="J96" s="2" t="s">
        <v>1197</v>
      </c>
    </row>
    <row r="97" ht="84" spans="1:10">
      <c r="A97" s="2">
        <v>96</v>
      </c>
      <c r="B97" s="2" t="s">
        <v>881</v>
      </c>
      <c r="C97" s="2" t="str">
        <f>VLOOKUP(B97,AI项目集!$C$2:$D$200,2,0)</f>
        <v>YY024</v>
      </c>
      <c r="D97" s="2" t="s">
        <v>1209</v>
      </c>
      <c r="E97" s="2" t="s">
        <v>1210</v>
      </c>
      <c r="F97" s="2">
        <v>2.5</v>
      </c>
      <c r="G97" s="2">
        <v>0</v>
      </c>
      <c r="H97" s="2" t="s">
        <v>1189</v>
      </c>
      <c r="I97" s="2">
        <v>25</v>
      </c>
      <c r="J97" s="2" t="s">
        <v>1211</v>
      </c>
    </row>
    <row r="98" ht="84" spans="1:10">
      <c r="A98" s="2">
        <v>97</v>
      </c>
      <c r="B98" s="2" t="s">
        <v>889</v>
      </c>
      <c r="C98" s="2" t="str">
        <f>VLOOKUP(B98,AI项目集!$C$2:$D$200,2,0)</f>
        <v>YY025</v>
      </c>
      <c r="D98" s="2" t="s">
        <v>1187</v>
      </c>
      <c r="E98" s="2" t="s">
        <v>1188</v>
      </c>
      <c r="F98" s="2">
        <v>3</v>
      </c>
      <c r="G98" s="2">
        <v>0</v>
      </c>
      <c r="H98" s="2" t="s">
        <v>1189</v>
      </c>
      <c r="I98" s="2">
        <v>30</v>
      </c>
      <c r="J98" s="2" t="s">
        <v>1190</v>
      </c>
    </row>
    <row r="99" ht="84" spans="1:10">
      <c r="A99" s="2">
        <v>98</v>
      </c>
      <c r="B99" s="2" t="s">
        <v>897</v>
      </c>
      <c r="C99" s="2" t="str">
        <f>VLOOKUP(B99,AI项目集!$C$2:$D$200,2,0)</f>
        <v>YY126</v>
      </c>
      <c r="D99" s="2" t="s">
        <v>1249</v>
      </c>
      <c r="E99" s="2" t="s">
        <v>1250</v>
      </c>
      <c r="F99" s="2">
        <v>0</v>
      </c>
      <c r="G99" s="2">
        <v>0</v>
      </c>
      <c r="H99" s="2" t="s">
        <v>1251</v>
      </c>
      <c r="I99" s="2">
        <v>25</v>
      </c>
      <c r="J99" s="2" t="s">
        <v>1252</v>
      </c>
    </row>
    <row r="100" ht="84" spans="1:10">
      <c r="A100" s="2">
        <v>99</v>
      </c>
      <c r="B100" s="2" t="s">
        <v>905</v>
      </c>
      <c r="C100" s="2" t="str">
        <f>VLOOKUP(B100,AI项目集!$C$2:$D$200,2,0)</f>
        <v>YY127</v>
      </c>
      <c r="D100" s="2" t="s">
        <v>1254</v>
      </c>
      <c r="E100" s="2" t="s">
        <v>1255</v>
      </c>
      <c r="F100" s="2">
        <v>0</v>
      </c>
      <c r="G100" s="2">
        <v>0</v>
      </c>
      <c r="H100" s="2" t="s">
        <v>1185</v>
      </c>
      <c r="I100" s="2">
        <v>30</v>
      </c>
      <c r="J100" s="2" t="s">
        <v>1256</v>
      </c>
    </row>
    <row r="101" ht="98" spans="1:10">
      <c r="A101" s="2">
        <v>100</v>
      </c>
      <c r="B101" s="2" t="s">
        <v>914</v>
      </c>
      <c r="C101" s="2" t="str">
        <f>VLOOKUP(B101,AI项目集!$C$2:$D$200,2,0)</f>
        <v>YY128</v>
      </c>
      <c r="D101" s="2" t="s">
        <v>1202</v>
      </c>
      <c r="E101" s="2" t="s">
        <v>1203</v>
      </c>
      <c r="F101" s="2">
        <v>1.65</v>
      </c>
      <c r="G101" s="2">
        <v>0</v>
      </c>
      <c r="H101" s="2" t="s">
        <v>1204</v>
      </c>
      <c r="I101" s="2">
        <v>55</v>
      </c>
      <c r="J101" s="2" t="s">
        <v>1205</v>
      </c>
    </row>
    <row r="102" ht="98" spans="1:10">
      <c r="A102" s="2">
        <v>101</v>
      </c>
      <c r="B102" s="2" t="s">
        <v>922</v>
      </c>
      <c r="C102" s="2" t="str">
        <f>VLOOKUP(B102,AI项目集!$C$2:$D$200,2,0)</f>
        <v>YY029</v>
      </c>
      <c r="D102" s="2" t="s">
        <v>1244</v>
      </c>
      <c r="E102" s="2" t="s">
        <v>1245</v>
      </c>
      <c r="F102" s="2">
        <v>6</v>
      </c>
      <c r="G102" s="2">
        <v>0</v>
      </c>
      <c r="H102" s="2" t="s">
        <v>1200</v>
      </c>
      <c r="I102" s="2">
        <v>40</v>
      </c>
      <c r="J102" s="2" t="s">
        <v>1246</v>
      </c>
    </row>
    <row r="103" ht="84" spans="1:10">
      <c r="A103" s="2">
        <v>102</v>
      </c>
      <c r="B103" s="2" t="s">
        <v>930</v>
      </c>
      <c r="C103" s="2" t="str">
        <f>VLOOKUP(B103,AI项目集!$C$2:$D$200,2,0)</f>
        <v>YY030</v>
      </c>
      <c r="D103" s="2" t="s">
        <v>1187</v>
      </c>
      <c r="E103" s="2" t="s">
        <v>1188</v>
      </c>
      <c r="F103" s="2">
        <v>3</v>
      </c>
      <c r="G103" s="2">
        <v>0</v>
      </c>
      <c r="H103" s="2" t="s">
        <v>1189</v>
      </c>
      <c r="I103" s="2">
        <v>30</v>
      </c>
      <c r="J103" s="2" t="s">
        <v>1190</v>
      </c>
    </row>
    <row r="104" ht="84" spans="1:10">
      <c r="A104" s="2">
        <v>103</v>
      </c>
      <c r="B104" s="2" t="s">
        <v>938</v>
      </c>
      <c r="C104" s="2" t="str">
        <f>VLOOKUP(B104,AI项目集!$C$2:$D$200,2,0)</f>
        <v>YY131</v>
      </c>
      <c r="D104" s="2" t="s">
        <v>1218</v>
      </c>
      <c r="E104" s="2" t="s">
        <v>1219</v>
      </c>
      <c r="F104" s="2">
        <v>0</v>
      </c>
      <c r="G104" s="2">
        <v>0</v>
      </c>
      <c r="H104" s="2" t="s">
        <v>1185</v>
      </c>
      <c r="I104" s="2">
        <v>35</v>
      </c>
      <c r="J104" s="2" t="s">
        <v>1260</v>
      </c>
    </row>
    <row r="105" ht="84" spans="1:10">
      <c r="A105" s="2">
        <v>104</v>
      </c>
      <c r="B105" s="2" t="s">
        <v>946</v>
      </c>
      <c r="C105" s="2" t="str">
        <f>VLOOKUP(B105,AI项目集!$C$2:$D$200,2,0)</f>
        <v>YY032</v>
      </c>
      <c r="D105" s="2" t="s">
        <v>1209</v>
      </c>
      <c r="E105" s="2" t="s">
        <v>1210</v>
      </c>
      <c r="F105" s="2">
        <v>2.5</v>
      </c>
      <c r="G105" s="2">
        <v>0</v>
      </c>
      <c r="H105" s="2" t="s">
        <v>1189</v>
      </c>
      <c r="I105" s="2">
        <v>25</v>
      </c>
      <c r="J105" s="2" t="s">
        <v>1211</v>
      </c>
    </row>
    <row r="106" ht="98" spans="1:10">
      <c r="A106" s="2">
        <v>105</v>
      </c>
      <c r="B106" s="2" t="s">
        <v>955</v>
      </c>
      <c r="C106" s="2" t="str">
        <f>VLOOKUP(B106,AI项目集!$C$2:$D$200,2,0)</f>
        <v>YY033</v>
      </c>
      <c r="D106" s="2" t="s">
        <v>1236</v>
      </c>
      <c r="E106" s="2" t="s">
        <v>1261</v>
      </c>
      <c r="F106" s="2">
        <v>13.5</v>
      </c>
      <c r="G106" s="2">
        <v>13.5</v>
      </c>
      <c r="H106" s="2" t="s">
        <v>1193</v>
      </c>
      <c r="I106" s="2">
        <v>90</v>
      </c>
      <c r="J106" s="2" t="s">
        <v>1262</v>
      </c>
    </row>
    <row r="107" ht="98" spans="1:10">
      <c r="A107" s="2">
        <v>106</v>
      </c>
      <c r="B107" s="2" t="s">
        <v>284</v>
      </c>
      <c r="C107" s="2" t="str">
        <f>VLOOKUP(B107,AI项目集!$C$2:$D$200,2,0)</f>
        <v>GYL029</v>
      </c>
      <c r="D107" s="2" t="s">
        <v>1263</v>
      </c>
      <c r="E107" s="2" t="s">
        <v>1264</v>
      </c>
      <c r="F107" s="2">
        <v>6.9</v>
      </c>
      <c r="G107" s="2">
        <v>2.66453525910038e-15</v>
      </c>
      <c r="H107" s="2" t="s">
        <v>1200</v>
      </c>
      <c r="I107" s="2">
        <v>40</v>
      </c>
      <c r="J107" s="2" t="s">
        <v>1265</v>
      </c>
    </row>
    <row r="108" ht="98" spans="1:10">
      <c r="A108" s="2">
        <v>107</v>
      </c>
      <c r="B108" s="2" t="s">
        <v>974</v>
      </c>
      <c r="C108" s="2" t="str">
        <f>VLOOKUP(B108,AI项目集!$C$2:$D$200,2,0)</f>
        <v>YY035</v>
      </c>
      <c r="D108" s="2" t="s">
        <v>1236</v>
      </c>
      <c r="E108" s="2" t="s">
        <v>1247</v>
      </c>
      <c r="F108" s="2">
        <v>15</v>
      </c>
      <c r="G108" s="2">
        <v>28</v>
      </c>
      <c r="H108" s="2" t="s">
        <v>1193</v>
      </c>
      <c r="I108" s="2">
        <v>110</v>
      </c>
      <c r="J108" s="2" t="s">
        <v>1248</v>
      </c>
    </row>
    <row r="109" ht="70" spans="1:10">
      <c r="A109" s="2">
        <v>108</v>
      </c>
      <c r="B109" s="2" t="s">
        <v>293</v>
      </c>
      <c r="C109" s="2" t="str">
        <f>VLOOKUP(B109,AI项目集!$C$2:$D$200,2,0)</f>
        <v>GYL030</v>
      </c>
      <c r="D109" s="2" t="s">
        <v>1191</v>
      </c>
      <c r="E109" s="3">
        <v>0</v>
      </c>
      <c r="F109" s="2">
        <v>8</v>
      </c>
      <c r="G109" s="2">
        <v>0</v>
      </c>
      <c r="H109" s="2" t="s">
        <v>1266</v>
      </c>
      <c r="I109" s="2">
        <v>40</v>
      </c>
      <c r="J109" s="2" t="s">
        <v>1267</v>
      </c>
    </row>
    <row r="110" ht="56" spans="1:10">
      <c r="A110" s="2">
        <v>109</v>
      </c>
      <c r="B110" s="2" t="s">
        <v>302</v>
      </c>
      <c r="C110" s="2" t="str">
        <f>VLOOKUP(B110,AI项目集!$C$2:$D$200,2,0)</f>
        <v>GYL031</v>
      </c>
      <c r="D110" s="2" t="s">
        <v>1268</v>
      </c>
      <c r="E110" s="3">
        <v>0</v>
      </c>
      <c r="F110" s="2">
        <v>0</v>
      </c>
      <c r="G110" s="2">
        <v>0</v>
      </c>
      <c r="H110" s="2" t="s">
        <v>1189</v>
      </c>
      <c r="I110" s="2">
        <v>15</v>
      </c>
      <c r="J110" s="2" t="s">
        <v>1269</v>
      </c>
    </row>
    <row r="111" ht="42" spans="1:10">
      <c r="A111" s="2">
        <v>110</v>
      </c>
      <c r="B111" s="2" t="s">
        <v>311</v>
      </c>
      <c r="C111" s="2" t="str">
        <f>VLOOKUP(B111,AI项目集!$C$2:$D$200,2,0)</f>
        <v>GYL032</v>
      </c>
      <c r="D111" s="2" t="s">
        <v>1268</v>
      </c>
      <c r="E111" s="3">
        <v>0</v>
      </c>
      <c r="F111" s="2">
        <v>0</v>
      </c>
      <c r="G111" s="2">
        <v>0</v>
      </c>
      <c r="H111" s="2" t="s">
        <v>1189</v>
      </c>
      <c r="I111" s="2">
        <v>15</v>
      </c>
      <c r="J111" s="2" t="s">
        <v>1270</v>
      </c>
    </row>
    <row r="112" ht="56" spans="1:10">
      <c r="A112" s="2">
        <v>111</v>
      </c>
      <c r="B112" s="2" t="s">
        <v>448</v>
      </c>
      <c r="C112" s="2" t="str">
        <f>VLOOKUP(B112,AI项目集!$C$2:$D$200,2,0)</f>
        <v>WL117</v>
      </c>
      <c r="D112" s="2" t="s">
        <v>1271</v>
      </c>
      <c r="E112" s="2" t="s">
        <v>1272</v>
      </c>
      <c r="F112" s="2">
        <v>0</v>
      </c>
      <c r="G112" s="2">
        <v>0</v>
      </c>
      <c r="H112" s="2" t="s">
        <v>1273</v>
      </c>
      <c r="I112" s="2">
        <v>20</v>
      </c>
      <c r="J112" s="2" t="s">
        <v>1274</v>
      </c>
    </row>
    <row r="113" ht="56" spans="1:10">
      <c r="A113" s="2">
        <v>112</v>
      </c>
      <c r="B113" s="2" t="s">
        <v>457</v>
      </c>
      <c r="C113" s="2" t="str">
        <f>VLOOKUP(B113,AI项目集!$C$2:$D$200,2,0)</f>
        <v>WL018</v>
      </c>
      <c r="D113" s="2" t="s">
        <v>1275</v>
      </c>
      <c r="E113" s="3">
        <v>0</v>
      </c>
      <c r="F113" s="2">
        <v>0</v>
      </c>
      <c r="G113" s="2">
        <v>0</v>
      </c>
      <c r="H113" s="2" t="s">
        <v>1189</v>
      </c>
      <c r="I113" s="2">
        <v>25</v>
      </c>
      <c r="J113" s="2" t="s">
        <v>1276</v>
      </c>
    </row>
    <row r="114" ht="56" spans="1:10">
      <c r="A114" s="2">
        <v>113</v>
      </c>
      <c r="B114" s="2" t="s">
        <v>465</v>
      </c>
      <c r="C114" s="2" t="str">
        <f>VLOOKUP(B114,AI项目集!$C$2:$D$200,2,0)</f>
        <v>WL119</v>
      </c>
      <c r="D114" s="2" t="s">
        <v>1277</v>
      </c>
      <c r="E114" s="2" t="s">
        <v>1278</v>
      </c>
      <c r="F114" s="2">
        <v>0</v>
      </c>
      <c r="G114" s="2">
        <v>0</v>
      </c>
      <c r="H114" s="2" t="s">
        <v>1279</v>
      </c>
      <c r="I114" s="2">
        <v>25</v>
      </c>
      <c r="J114" s="2" t="s">
        <v>1280</v>
      </c>
    </row>
    <row r="115" ht="70" spans="1:10">
      <c r="A115" s="2">
        <v>114</v>
      </c>
      <c r="B115" s="2" t="s">
        <v>682</v>
      </c>
      <c r="C115" s="2" t="str">
        <f>VLOOKUP(B115,AI项目集!$C$2:$D$200,2,0)</f>
        <v>LS028</v>
      </c>
      <c r="D115" s="2" t="s">
        <v>1191</v>
      </c>
      <c r="E115" s="3">
        <v>0</v>
      </c>
      <c r="F115" s="2">
        <v>8</v>
      </c>
      <c r="G115" s="2">
        <v>0</v>
      </c>
      <c r="H115" s="2" t="s">
        <v>1266</v>
      </c>
      <c r="I115" s="2">
        <v>40</v>
      </c>
      <c r="J115" s="2" t="s">
        <v>1281</v>
      </c>
    </row>
    <row r="116" ht="42" spans="1:10">
      <c r="A116" s="2">
        <v>115</v>
      </c>
      <c r="B116" s="2" t="s">
        <v>983</v>
      </c>
      <c r="C116" s="2" t="str">
        <f>VLOOKUP(B116,AI项目集!$C$2:$D$200,2,0)</f>
        <v>YY036</v>
      </c>
      <c r="D116" s="2" t="s">
        <v>1282</v>
      </c>
      <c r="E116" s="3">
        <v>0</v>
      </c>
      <c r="F116" s="2">
        <v>0</v>
      </c>
      <c r="G116" s="2">
        <v>0</v>
      </c>
      <c r="H116" s="2" t="s">
        <v>1189</v>
      </c>
      <c r="I116" s="2">
        <v>20</v>
      </c>
      <c r="J116" s="2" t="s">
        <v>1283</v>
      </c>
    </row>
    <row r="117" ht="56" spans="1:10">
      <c r="A117" s="2">
        <v>116</v>
      </c>
      <c r="B117" s="2" t="s">
        <v>690</v>
      </c>
      <c r="C117" s="2" t="str">
        <f>VLOOKUP(B117,AI项目集!$C$2:$D$200,2,0)</f>
        <v>LS029</v>
      </c>
      <c r="D117" s="2" t="s">
        <v>1275</v>
      </c>
      <c r="E117" s="3">
        <v>0</v>
      </c>
      <c r="F117" s="2">
        <v>0</v>
      </c>
      <c r="G117" s="2">
        <v>0</v>
      </c>
      <c r="H117" s="2" t="s">
        <v>1189</v>
      </c>
      <c r="I117" s="2">
        <v>25</v>
      </c>
      <c r="J117" s="2" t="s">
        <v>1284</v>
      </c>
    </row>
    <row r="118" ht="56" spans="1:10">
      <c r="A118" s="2">
        <v>117</v>
      </c>
      <c r="B118" s="2" t="s">
        <v>992</v>
      </c>
      <c r="C118" s="2" t="str">
        <f>VLOOKUP(B118,AI项目集!$C$2:$D$200,2,0)</f>
        <v>YY137</v>
      </c>
      <c r="D118" s="2" t="s">
        <v>1271</v>
      </c>
      <c r="E118" s="2" t="s">
        <v>1272</v>
      </c>
      <c r="F118" s="2">
        <v>0</v>
      </c>
      <c r="G118" s="2">
        <v>0</v>
      </c>
      <c r="H118" s="2" t="s">
        <v>1273</v>
      </c>
      <c r="I118" s="2">
        <v>20</v>
      </c>
      <c r="J118" s="2" t="s">
        <v>1285</v>
      </c>
    </row>
    <row r="119" ht="56" spans="1:10">
      <c r="A119" s="2">
        <v>118</v>
      </c>
      <c r="B119" s="2" t="s">
        <v>1000</v>
      </c>
      <c r="C119" s="2" t="str">
        <f>VLOOKUP(B119,AI项目集!$C$2:$D$200,2,0)</f>
        <v>YY138</v>
      </c>
      <c r="D119" s="2" t="s">
        <v>1286</v>
      </c>
      <c r="E119" s="2" t="s">
        <v>1287</v>
      </c>
      <c r="F119" s="2">
        <v>0</v>
      </c>
      <c r="G119" s="2">
        <v>0</v>
      </c>
      <c r="H119" s="2" t="s">
        <v>1288</v>
      </c>
      <c r="I119" s="2">
        <v>35</v>
      </c>
      <c r="J119" s="2" t="s">
        <v>1289</v>
      </c>
    </row>
  </sheetData>
  <autoFilter xmlns:etc="http://www.wps.cn/officeDocument/2017/etCustomData" ref="A1:J119"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A3059F-57BB-4DDD-B0F2-D9E886658EC8}"/>
</file>

<file path=customXml/itemProps2.xml><?xml version="1.0" encoding="utf-8"?>
<ds:datastoreItem xmlns:ds="http://schemas.openxmlformats.org/officeDocument/2006/customXml" ds:itemID="{22D81D20-6C1A-4F61-A1F9-185D4A42F804}"/>
</file>

<file path=customXml/itemProps3.xml><?xml version="1.0" encoding="utf-8"?>
<ds:datastoreItem xmlns:ds="http://schemas.openxmlformats.org/officeDocument/2006/customXml" ds:itemID="{B65188C0-5F9F-4136-ACCB-47714C53284E}"/>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AI项目集</vt:lpstr>
      <vt:lpstr>项目卡片示例（新增）</vt:lpstr>
      <vt:lpstr>项目分布图（思维导图）</vt:lpstr>
      <vt:lpstr>项目路线图（甘特图）</vt:lpstr>
      <vt:lpstr>项目优先级评分表</vt:lpstr>
      <vt:lpstr>启动时间点分配规则</vt:lpstr>
      <vt:lpstr>实施周期对照表</vt:lpstr>
      <vt:lpstr>预算规则</vt:lpstr>
      <vt:lpstr>表述规范</vt:lpstr>
      <vt:lpstr>项目优先级评分结果</vt:lpstr>
      <vt:lpstr>预算明细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邹</cp:lastModifiedBy>
  <dcterms:created xsi:type="dcterms:W3CDTF">2025-10-19T01:40:00Z</dcterms:created>
  <dcterms:modified xsi:type="dcterms:W3CDTF">2025-12-04T02:57:50Z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66E75F9F21A64C7C880B6D9236DC3B92_12</vt:lpwstr>
  </property>
  <property fmtid="{D5CDD505-2E9C-101B-9397-08002B2CF9AE}" pid="3" name="KSOProductBuildVer">
    <vt:lpwstr>2052-12.1.0.23542</vt:lpwstr>
  </property>
  <property fmtid="{D5CDD505-2E9C-101B-9397-08002B2CF9AE}" pid="4" name="ContentTypeId">
    <vt:lpwstr>0x01010028C7B6C620067247A35EF62A3E68EE62</vt:lpwstr>
  </property>
</Properties>
</file>
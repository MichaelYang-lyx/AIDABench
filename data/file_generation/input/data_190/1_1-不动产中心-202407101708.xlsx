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/>
  <mc:AlternateContent xmlns:mc="http://schemas.openxmlformats.org/markup-compatibility/2006">
    <mc:Choice Requires="x15">
      <x15ac:absPath xmlns:x15ac="http://schemas.microsoft.com/office/spreadsheetml/2010/11/ac" url="/Users/liyanjie1/Desktop/program/data_clean-20260204/cleaned_data/input/data_190/"/>
    </mc:Choice>
  </mc:AlternateContent>
  <xr:revisionPtr revIDLastSave="0" documentId="13_ncr:1_{E8B3AE28-5555-B14C-9DE4-EBF4E36B8865}" xr6:coauthVersionLast="47" xr6:coauthVersionMax="47" xr10:uidLastSave="{00000000-0000-0000-0000-000000000000}"/>
  <bookViews>
    <workbookView xWindow="0" yWindow="2660" windowWidth="18260" windowHeight="16180" xr2:uid="{00000000-000D-0000-FFFF-FFFF00000000}"/>
  </bookViews>
  <sheets>
    <sheet name="分表1 产品配置单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2" l="1"/>
  <c r="H4" i="2"/>
  <c r="G4" i="2"/>
  <c r="H3" i="2"/>
  <c r="G3" i="2"/>
  <c r="H2" i="2"/>
  <c r="G2" i="2"/>
</calcChain>
</file>

<file path=xl/sharedStrings.xml><?xml version="1.0" encoding="utf-8"?>
<sst xmlns="http://schemas.openxmlformats.org/spreadsheetml/2006/main" count="24" uniqueCount="21">
  <si>
    <t>序号</t>
  </si>
  <si>
    <t>产品线</t>
  </si>
  <si>
    <t>产品型号</t>
  </si>
  <si>
    <t>产品说明</t>
  </si>
  <si>
    <t>数量</t>
  </si>
  <si>
    <t>单位</t>
  </si>
  <si>
    <t>含税单价（元）</t>
  </si>
  <si>
    <t>含税总价（元）</t>
  </si>
  <si>
    <t>1</t>
  </si>
  <si>
    <t>台</t>
  </si>
  <si>
    <t>套</t>
  </si>
  <si>
    <t>总计</t>
  </si>
  <si>
    <t>下一代防火墙</t>
    <phoneticPr fontId="5" type="noConversion"/>
  </si>
  <si>
    <t>安全管理系统</t>
    <phoneticPr fontId="5" type="noConversion"/>
  </si>
  <si>
    <t>日志审计设备</t>
    <phoneticPr fontId="5" type="noConversion"/>
  </si>
  <si>
    <t>A??????L</t>
    <phoneticPr fontId="5" type="noConversion"/>
  </si>
  <si>
    <t>A??????E</t>
    <phoneticPr fontId="5" type="noConversion"/>
  </si>
  <si>
    <t>A??????R</t>
    <phoneticPr fontId="5" type="noConversion"/>
  </si>
  <si>
    <t>参数1;
软件升级(*1年);
产品质保(*1年);</t>
    <phoneticPr fontId="5" type="noConversion"/>
  </si>
  <si>
    <t>参数2;
软件升级（PC端）(*1年);</t>
    <phoneticPr fontId="5" type="noConversion"/>
  </si>
  <si>
    <t>参数3;
软件升级(*1年);
产品质保(*1年);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</si>
</sst>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6">
    <font>
      <sz val="11"/>
      <color theme="1"/>
      <name val="微软雅黑"/>
      <charset val="134"/>
    </font>
    <font>
      <sz val="11"/>
      <color theme="1"/>
      <name val="宋体"/>
      <family val="3"/>
      <charset val="134"/>
      <scheme val="minor"/>
    </font>
    <font>
      <b/>
      <sz val="10"/>
      <color theme="0"/>
      <name val="宋体"/>
      <family val="3"/>
      <charset val="134"/>
    </font>
    <font>
      <sz val="11"/>
      <name val="宋体"/>
      <family val="3"/>
      <charset val="134"/>
    </font>
    <font>
      <sz val="10"/>
      <name val="宋体"/>
      <family val="3"/>
      <charset val="134"/>
    </font>
    <font>
      <sz val="9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2" borderId="0" xfId="0" applyFont="1" applyFill="1" applyAlignment="1"/>
    <xf numFmtId="0" fontId="1" fillId="0" borderId="0" xfId="0" applyFont="1" applyAlignment="1"/>
    <xf numFmtId="176" fontId="1" fillId="0" borderId="0" xfId="0" applyNumberFormat="1" applyFont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76" fontId="2" fillId="3" borderId="1" xfId="0" applyNumberFormat="1" applyFont="1" applyFill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A5" sqref="A5:G5"/>
    </sheetView>
  </sheetViews>
  <sheetFormatPr baseColWidth="10" defaultColWidth="9.6640625" defaultRowHeight="14"/>
  <cols>
    <col min="1" max="1" width="4.5" style="2" customWidth="1"/>
    <col min="2" max="2" width="6.5" style="2" customWidth="1"/>
    <col min="3" max="3" width="14.6640625" style="2" customWidth="1"/>
    <col min="4" max="4" width="39.33203125" style="2" customWidth="1"/>
    <col min="5" max="6" width="8.83203125" style="2" customWidth="1"/>
    <col min="7" max="7" width="12.83203125" style="3" customWidth="1"/>
    <col min="8" max="8" width="18.5" style="3" customWidth="1"/>
    <col min="9" max="16384" width="9.6640625" style="2"/>
  </cols>
  <sheetData>
    <row r="1" spans="1:8" s="1" customFormat="1" ht="18.7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8" t="s">
        <v>6</v>
      </c>
      <c r="H1" s="8" t="s">
        <v>7</v>
      </c>
    </row>
    <row r="2" spans="1:8" ht="45">
      <c r="A2" s="6">
        <v>1</v>
      </c>
      <c r="B2" s="6" t="s">
        <v>12</v>
      </c>
      <c r="C2" s="6" t="s">
        <v>15</v>
      </c>
      <c r="D2" s="7" t="s">
        <v>18</v>
      </c>
      <c r="E2" s="6" t="s">
        <v>8</v>
      </c>
      <c r="F2" s="6" t="s">
        <v>9</v>
      </c>
      <c r="G2" s="9">
        <f>8700</f>
        <v>8700</v>
      </c>
      <c r="H2" s="10">
        <f>ROUND(E2*G2,2)</f>
        <v>8700</v>
      </c>
    </row>
    <row r="3" spans="1:8" ht="30">
      <c r="A3" s="6">
        <v>2</v>
      </c>
      <c r="B3" s="6" t="s">
        <v>13</v>
      </c>
      <c r="C3" s="6" t="s">
        <v>16</v>
      </c>
      <c r="D3" s="7" t="s">
        <v>19</v>
      </c>
      <c r="E3" s="6" t="s">
        <v>8</v>
      </c>
      <c r="F3" s="6" t="s">
        <v>10</v>
      </c>
      <c r="G3" s="9">
        <f>1300</f>
        <v>1300</v>
      </c>
      <c r="H3" s="10">
        <f>ROUND(E3*G3,2)</f>
        <v>1300</v>
      </c>
    </row>
    <row r="4" spans="1:8" ht="45">
      <c r="A4" s="6">
        <v>3</v>
      </c>
      <c r="B4" s="6" t="s">
        <v>14</v>
      </c>
      <c r="C4" s="6" t="s">
        <v>17</v>
      </c>
      <c r="D4" s="7" t="s">
        <v>20</v>
      </c>
      <c r="E4" s="6" t="s">
        <v>8</v>
      </c>
      <c r="F4" s="6" t="s">
        <v>9</v>
      </c>
      <c r="G4" s="9">
        <f>34500</f>
        <v>34500</v>
      </c>
      <c r="H4" s="10">
        <f>ROUND(E4*G4,2)</f>
        <v>34500</v>
      </c>
    </row>
    <row r="5" spans="1:8">
      <c r="A5" s="12" t="s">
        <v>11</v>
      </c>
      <c r="B5" s="12"/>
      <c r="C5" s="12"/>
      <c r="D5" s="12"/>
      <c r="E5" s="12"/>
      <c r="F5" s="12"/>
      <c r="G5" s="12"/>
      <c r="H5" s="11">
        <f>SUM(H2:H4)</f>
        <v>44500</v>
      </c>
    </row>
  </sheetData>
  <sheetProtection formatCells="0" insertHyperlinks="0" autoFilter="0"/>
  <mergeCells count="1">
    <mergeCell ref="A5:G5"/>
  </mergeCells>
  <phoneticPr fontId="5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ixelators xmlns="https://web.wps.cn/et/2018/main" xmlns:s="http://schemas.openxmlformats.org/spreadsheetml/2006/main">
  <pixelatorList sheetStid="2"/>
</pixelators>
</file>

<file path=customXml/item2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A1F5C975-6291-4F0D-9819-B0701917B5B4}"/>
</file>

<file path=customXml/itemProps4.xml><?xml version="1.0" encoding="utf-8"?>
<ds:datastoreItem xmlns:ds="http://schemas.openxmlformats.org/officeDocument/2006/customXml" ds:itemID="{A028D1C7-814C-49B3-85C8-4CD9062C4FD6}"/>
</file>

<file path=customXml/itemProps5.xml><?xml version="1.0" encoding="utf-8"?>
<ds:datastoreItem xmlns:ds="http://schemas.openxmlformats.org/officeDocument/2006/customXml" ds:itemID="{CCC9556E-B509-4837-90D5-E0C855272B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分表1 产品配置单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李彦洁</cp:lastModifiedBy>
  <dcterms:created xsi:type="dcterms:W3CDTF">2024-07-11T05:13:17Z</dcterms:created>
  <dcterms:modified xsi:type="dcterms:W3CDTF">2026-02-06T16:21:57Z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2052-0.0.0.0</vt:lpwstr>
  </property>
  <property fmtid="{D5CDD505-2E9C-101B-9397-08002B2CF9AE}" pid="4" name="ContentTypeId">
    <vt:lpwstr>0x01010028C7B6C620067247A35EF62A3E68EE62</vt:lpwstr>
  </property>
</Properties>
</file>
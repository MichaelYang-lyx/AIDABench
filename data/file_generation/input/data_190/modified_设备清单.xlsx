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660" windowWidth="18260" windowHeight="16180" tabRatio="600" firstSheet="0" activeTab="0" autoFilterDateGrouping="1"/>
  </bookViews>
  <sheets>
    <sheet xmlns:r="http://schemas.openxmlformats.org/officeDocument/2006/relationships" name="分表1 产品配置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6">
    <font>
      <name val="微软雅黑"/>
      <charset val="134"/>
      <color theme="1"/>
      <sz val="11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0"/>
      <sz val="10"/>
    </font>
    <font>
      <name val="宋体"/>
      <charset val="134"/>
      <family val="3"/>
      <sz val="11"/>
    </font>
    <font>
      <name val="宋体"/>
      <charset val="134"/>
      <family val="3"/>
      <sz val="10"/>
    </font>
    <font>
      <name val="微软雅黑"/>
      <charset val="134"/>
      <family val="2"/>
      <sz val="9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1" fillId="0" borderId="0" pivotButton="0" quotePrefix="0" xfId="0"/>
    <xf numFmtId="164" fontId="1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2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1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5" sqref="A5:G5"/>
    </sheetView>
  </sheetViews>
  <sheetFormatPr baseColWidth="10" defaultColWidth="9.6640625" defaultRowHeight="14"/>
  <cols>
    <col width="4.5" customWidth="1" style="2" min="1" max="1"/>
    <col width="6.5" customWidth="1" style="2" min="2" max="2"/>
    <col width="14.6640625" customWidth="1" style="2" min="3" max="3"/>
    <col width="39.33203125" customWidth="1" style="2" min="4" max="4"/>
    <col width="8.83203125" customWidth="1" style="2" min="5" max="6"/>
    <col width="12.83203125" customWidth="1" style="13" min="7" max="7"/>
    <col width="18.5" customWidth="1" style="13" min="8" max="8"/>
    <col width="9.6640625" customWidth="1" style="2" min="9" max="16384"/>
  </cols>
  <sheetData>
    <row r="1" ht="18.75" customFormat="1" customHeight="1" s="1">
      <c r="A1" s="4" t="inlineStr">
        <is>
          <t>序号</t>
        </is>
      </c>
      <c r="B1" s="5" t="inlineStr">
        <is>
          <t>产品线</t>
        </is>
      </c>
      <c r="C1" s="5" t="inlineStr">
        <is>
          <t>产品型号</t>
        </is>
      </c>
      <c r="D1" s="5" t="inlineStr">
        <is>
          <t>产品说明</t>
        </is>
      </c>
      <c r="E1" s="5" t="inlineStr">
        <is>
          <t>数量</t>
        </is>
      </c>
      <c r="F1" s="5" t="inlineStr">
        <is>
          <t>单位</t>
        </is>
      </c>
      <c r="G1" s="14" t="inlineStr">
        <is>
          <t>含税单价（元）</t>
        </is>
      </c>
      <c r="H1" s="14" t="inlineStr">
        <is>
          <t>含税总价（元）</t>
        </is>
      </c>
    </row>
    <row r="2" ht="45" customHeight="1" s="15">
      <c r="A2" s="6" t="n">
        <v>1</v>
      </c>
      <c r="B2" s="6" t="inlineStr">
        <is>
          <t>下一代防火墙</t>
        </is>
      </c>
      <c r="C2" s="6" t="inlineStr">
        <is>
          <t>A??????L</t>
        </is>
      </c>
      <c r="D2" s="7" t="inlineStr">
        <is>
          <t>参数1;
软件升级(*1年);
产品质保(*1年);</t>
        </is>
      </c>
      <c r="E2" s="6" t="n">
        <v>3</v>
      </c>
      <c r="F2" s="6" t="inlineStr">
        <is>
          <t>台</t>
        </is>
      </c>
      <c r="G2" s="16">
        <f>26100</f>
        <v/>
      </c>
      <c r="H2" s="17">
        <f>ROUND(E2*G2,2)</f>
        <v/>
      </c>
    </row>
    <row r="3" ht="30" customHeight="1" s="15">
      <c r="A3" s="6" t="n">
        <v>2</v>
      </c>
      <c r="B3" s="6" t="inlineStr">
        <is>
          <t>安全管理系统</t>
        </is>
      </c>
      <c r="C3" s="6" t="inlineStr">
        <is>
          <t>A??????E</t>
        </is>
      </c>
      <c r="D3" s="7" t="inlineStr">
        <is>
          <t>参数2;
软件升级（PC端）(*1年);</t>
        </is>
      </c>
      <c r="E3" s="6" t="n">
        <v>3</v>
      </c>
      <c r="F3" s="6" t="inlineStr">
        <is>
          <t>套</t>
        </is>
      </c>
      <c r="G3" s="16">
        <f>3900</f>
        <v/>
      </c>
      <c r="H3" s="17">
        <f>ROUND(E3*G3,2)</f>
        <v/>
      </c>
    </row>
    <row r="4" ht="45" customHeight="1" s="15">
      <c r="A4" s="6" t="n">
        <v>3</v>
      </c>
      <c r="B4" s="6" t="inlineStr">
        <is>
          <t>日志审计设备</t>
        </is>
      </c>
      <c r="C4" s="6" t="inlineStr">
        <is>
          <t>A??????R</t>
        </is>
      </c>
      <c r="D4" s="7" t="inlineStr">
        <is>
          <t>参数3;
软件升级(*1年);
产品质保(*1年);</t>
        </is>
      </c>
      <c r="E4" s="6" t="n">
        <v>3</v>
      </c>
      <c r="F4" s="6" t="inlineStr">
        <is>
          <t>台</t>
        </is>
      </c>
      <c r="G4" s="16">
        <f>103500</f>
        <v/>
      </c>
      <c r="H4" s="17">
        <f>ROUND(E4*G4,2)</f>
        <v/>
      </c>
    </row>
    <row r="5">
      <c r="A5" s="12" t="inlineStr">
        <is>
          <t>总计</t>
        </is>
      </c>
      <c r="B5" s="18" t="n"/>
      <c r="C5" s="18" t="n"/>
      <c r="D5" s="18" t="n"/>
      <c r="E5" s="18" t="n"/>
      <c r="F5" s="18" t="n"/>
      <c r="G5" s="19" t="n"/>
      <c r="H5" s="20">
        <f>SUM(H2:H4)</f>
        <v/>
      </c>
    </row>
  </sheetData>
  <mergeCells count="1">
    <mergeCell ref="A5:G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2024-07-11T05:13:17Z</dcterms:created>
  <dcterms:modified xmlns:dcterms="http://purl.org/dc/terms/" xmlns:xsi="http://www.w3.org/2001/XMLSchema-instance" xsi:type="dcterms:W3CDTF">2026-02-09T16:39:51Z</dcterms:modified>
  <cp:lastModifiedBy>李彦洁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/>
  </property>
  <property name="KSOProductBuildVer" fmtid="{D5CDD505-2E9C-101B-9397-08002B2CF9AE}" pid="3">
    <vt:lpwstr xmlns:vt="http://schemas.openxmlformats.org/officeDocument/2006/docPropsVTypes">2052-0.0.0.0</vt:lpwstr>
  </property>
  <property name="ContentTypeId" fmtid="{D5CDD505-2E9C-101B-9397-08002B2CF9AE}" pid="4">
    <vt:lpwstr xmlns:vt="http://schemas.openxmlformats.org/officeDocument/2006/docPropsVTypes">0x01010028C7B6C620067247A35EF62A3E68EE62</vt:lpwstr>
  </property>
</Properties>
</file>
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工时" sheetId="1" r:id="rId1"/>
    <sheet name="薪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<sst xmlns="http://schemas.openxmlformats.org/spreadsheetml/2006/main" count="67" uniqueCount="66">
  <si>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月份</t>
  </si>
  <si>
    <t>法定工作日</t>
  </si>
  <si>
    <t>实际工作日</t>
  </si>
  <si>
    <t>项目1</t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</si>
  <si>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</si>
  <si>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</si>
  <si>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</si>
  <si>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</si>
  <si>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</si>
  <si>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</si>
  <si>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</si>
  <si>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</si>
  <si>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</si>
  <si>
    <t>项目11</t>
  </si>
  <si>
    <t>项目12</t>
  </si>
  <si>
    <t>项目13</t>
  </si>
  <si>
    <t>项目14</t>
  </si>
  <si>
    <t>项目15</t>
  </si>
  <si>
    <t>项目16</t>
  </si>
  <si>
    <t>项目17</t>
  </si>
  <si>
    <t>项目18</t>
  </si>
  <si>
    <t>项目19</t>
  </si>
  <si>
    <t>项目20</t>
  </si>
  <si>
    <t>项目21</t>
  </si>
  <si>
    <t>项目22</t>
  </si>
  <si>
    <t>项目23</t>
  </si>
  <si>
    <t>5月</t>
  </si>
  <si>
    <t>员工1</t>
  </si>
  <si>
    <t>员工2</t>
  </si>
  <si>
    <t>员工3</t>
  </si>
  <si>
    <t>员工4</t>
  </si>
  <si>
    <t>员工5</t>
  </si>
  <si>
    <t>员工6</t>
  </si>
  <si>
    <t>员工7</t>
  </si>
  <si>
    <t>员工8</t>
  </si>
  <si>
    <t>员工9</t>
  </si>
  <si>
    <t>员工10</t>
  </si>
  <si>
    <t>员工11</t>
  </si>
  <si>
    <t>员工12</t>
  </si>
  <si>
    <t>工资</t>
  </si>
  <si>
    <t>养老</t>
  </si>
  <si>
    <t>医疗</t>
  </si>
  <si>
    <t>工伤</t>
  </si>
  <si>
    <t>失业</t>
  </si>
  <si>
    <t>公积金</t>
  </si>
  <si>
    <t>劳务派遣</t>
  </si>
  <si>
    <t>合计</t>
  </si>
  <si>
    <t>王洪兴</t>
  </si>
  <si>
    <t>赵明杰</t>
  </si>
  <si>
    <t>黄纯璐</t>
  </si>
  <si>
    <t>常升</t>
  </si>
  <si>
    <t>贾立鑫</t>
  </si>
  <si>
    <t>王泽鲁</t>
  </si>
  <si>
    <t>杨茗</t>
  </si>
  <si>
    <t>李晓</t>
  </si>
  <si>
    <t>周长城</t>
  </si>
  <si>
    <t>代金坡</t>
  </si>
  <si>
    <t>蔡煜净</t>
  </si>
  <si>
    <t>刘晓非</t>
  </si>
  <si>
    <t>只柱</t>
  </si>
  <si>
    <t>徐玥</t>
  </si>
  <si>
    <t>张豪远</t>
  </si>
  <si>
    <t>姜华</t>
  </si>
  <si>
    <t>田甜</t>
  </si>
  <si>
    <t>陈国强</t>
  </si>
  <si>
    <t>李玲丽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</si>
</sst>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HONOR Sans CN"/>
      <charset val="134"/>
    </font>
    <font>
      <b/>
      <sz val="11"/>
      <color indexed="8"/>
      <name val="HONOR Sans CN"/>
      <charset val="134"/>
    </font>
    <font>
      <sz val="11"/>
      <color indexed="8"/>
      <name val="仿宋"/>
      <charset val="134"/>
    </font>
    <font>
      <sz val="11"/>
      <color rgb="FFFF0000"/>
      <name val="仿宋"/>
      <charset val="134"/>
    </font>
    <font>
      <sz val="11"/>
      <color theme="1"/>
      <name val="仿宋"/>
      <charset val="134"/>
    </font>
    <font>
      <b/>
      <sz val="11"/>
      <color theme="1"/>
      <name val="仿宋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1"/>
      <name val="宋体"/>
      <charset val="134"/>
    </font>
    <font>
      <sz val="12"/>
      <color theme="1"/>
      <name val="仿宋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6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3" fontId="0" fillId="0" borderId="0" xfId="1" applyFont="1">
      <alignment vertical="center"/>
    </xf>
    <xf numFmtId="43" fontId="1" fillId="0" borderId="1" xfId="1" applyFont="1" applyFill="1" applyBorder="1" applyAlignment="1" applyProtection="1">
      <alignment horizontal="center" vertical="center"/>
    </xf>
    <xf numFmtId="43" fontId="1" fillId="0" borderId="2" xfId="1" applyFont="1" applyFill="1" applyBorder="1" applyAlignment="1" applyProtection="1">
      <alignment horizontal="center" vertical="center"/>
    </xf>
    <xf numFmtId="43" fontId="2" fillId="0" borderId="3" xfId="1" applyFont="1" applyFill="1" applyBorder="1" applyAlignment="1" applyProtection="1">
      <alignment vertical="center"/>
    </xf>
    <xf numFmtId="43" fontId="2" fillId="0" borderId="4" xfId="1" applyFont="1" applyFill="1" applyBorder="1" applyAlignment="1" applyProtection="1">
      <alignment vertical="center"/>
    </xf>
    <xf numFmtId="43" fontId="3" fillId="0" borderId="4" xfId="0" applyNumberFormat="1" applyFont="1" applyFill="1" applyBorder="1" applyAlignment="1"/>
    <xf numFmtId="43" fontId="4" fillId="0" borderId="3" xfId="0" applyNumberFormat="1" applyFont="1" applyFill="1" applyBorder="1" applyAlignment="1">
      <alignment vertical="center"/>
    </xf>
    <xf numFmtId="43" fontId="4" fillId="0" borderId="4" xfId="0" applyNumberFormat="1" applyFont="1" applyFill="1" applyBorder="1" applyAlignment="1">
      <alignment vertical="center"/>
    </xf>
    <xf numFmtId="43" fontId="4" fillId="0" borderId="4" xfId="0" applyNumberFormat="1" applyFont="1" applyFill="1" applyBorder="1" applyAlignment="1"/>
    <xf numFmtId="43" fontId="4" fillId="2" borderId="4" xfId="0" applyNumberFormat="1" applyFont="1" applyFill="1" applyBorder="1" applyAlignment="1"/>
    <xf numFmtId="43" fontId="4" fillId="3" borderId="4" xfId="0" applyNumberFormat="1" applyFont="1" applyFill="1" applyBorder="1" applyAlignment="1"/>
    <xf numFmtId="43" fontId="4" fillId="4" borderId="4" xfId="0" applyNumberFormat="1" applyFont="1" applyFill="1" applyBorder="1" applyAlignment="1"/>
    <xf numFmtId="43" fontId="5" fillId="3" borderId="4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7" fillId="0" borderId="0" xfId="0" applyFont="1" applyFill="1" applyAlignment="1">
      <alignment vertical="center"/>
    </xf>
    <xf numFmtId="0" fontId="8" fillId="0" borderId="5" xfId="0" applyNumberFormat="1" applyFont="1" applyFill="1" applyBorder="1" applyAlignment="1" applyProtection="1">
      <alignment vertical="center" wrapText="1"/>
    </xf>
    <xf numFmtId="0" fontId="7" fillId="0" borderId="5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8" fillId="5" borderId="6" xfId="0" applyNumberFormat="1" applyFont="1" applyFill="1" applyBorder="1" applyAlignment="1" applyProtection="1">
      <alignment vertical="center" wrapText="1"/>
    </xf>
    <xf numFmtId="0" fontId="7" fillId="0" borderId="4" xfId="0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vertical="center"/>
    </xf>
    <xf numFmtId="0" fontId="7" fillId="0" borderId="5" xfId="0" applyNumberFormat="1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vertical="center"/>
    </xf>
    <xf numFmtId="0" fontId="7" fillId="0" borderId="7" xfId="0" applyNumberFormat="1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BF711D"/>
      </font>
      <fill>
        <patternFill patternType="solid">
          <fgColor rgb="FFFEFBC6"/>
          <bgColor rgb="FFFEFBC6"/>
        </patternFill>
      </fill>
    </dxf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J12" sqref="J12"/>
    </sheetView>
  </sheetViews>
  <sheetFormatPr defaultColWidth="9" defaultRowHeight="16.8"/>
  <sheetData>
    <row r="1" s="14" customFormat="1" ht="17" spans="1:27">
      <c r="A1" s="16" t="s">
        <v>0</v>
      </c>
      <c r="B1" s="16"/>
      <c r="C1" s="16" t="s">
        <v>1</v>
      </c>
      <c r="D1" s="16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</row>
    <row r="2" s="15" customFormat="1" ht="17.6" spans="1:27">
      <c r="A2" s="17" t="s">
        <v>26</v>
      </c>
      <c r="B2" s="18" t="s">
        <v>27</v>
      </c>
      <c r="C2" s="19">
        <v>21</v>
      </c>
      <c r="D2" s="18">
        <f t="shared" ref="D2:D17" si="0">SUM(E2:Y2)</f>
        <v>21</v>
      </c>
      <c r="E2" s="22"/>
      <c r="F2" s="23"/>
      <c r="G2" s="22"/>
      <c r="H2" s="22"/>
      <c r="I2" s="22"/>
      <c r="J2" s="22"/>
      <c r="K2" s="22"/>
      <c r="L2" s="23">
        <v>2</v>
      </c>
      <c r="M2" s="22"/>
      <c r="N2" s="23"/>
      <c r="O2" s="23">
        <v>2</v>
      </c>
      <c r="P2" s="22"/>
      <c r="Q2" s="22"/>
      <c r="R2" s="23">
        <v>5</v>
      </c>
      <c r="S2" s="23">
        <v>2</v>
      </c>
      <c r="T2" s="23">
        <v>5</v>
      </c>
      <c r="U2" s="23">
        <v>5</v>
      </c>
      <c r="V2" s="15"/>
      <c r="W2" s="22"/>
      <c r="X2" s="22"/>
      <c r="Y2" s="25"/>
      <c r="Z2" s="31"/>
      <c r="AA2" s="31"/>
    </row>
    <row r="3" s="15" customFormat="1" ht="17.6" spans="1:27">
      <c r="A3" s="20"/>
      <c r="B3" s="18" t="s">
        <v>28</v>
      </c>
      <c r="C3" s="19">
        <v>21</v>
      </c>
      <c r="D3" s="18">
        <f t="shared" si="0"/>
        <v>21</v>
      </c>
      <c r="E3" s="22"/>
      <c r="F3" s="22"/>
      <c r="G3" s="22"/>
      <c r="H3" s="22"/>
      <c r="I3" s="22"/>
      <c r="J3" s="22"/>
      <c r="K3" s="22"/>
      <c r="L3" s="22"/>
      <c r="M3" s="23">
        <v>3</v>
      </c>
      <c r="N3" s="24"/>
      <c r="O3" s="22"/>
      <c r="P3" s="22"/>
      <c r="Q3" s="22"/>
      <c r="R3" s="23">
        <v>9</v>
      </c>
      <c r="S3" s="23"/>
      <c r="T3" s="22"/>
      <c r="U3" s="23">
        <v>9</v>
      </c>
      <c r="V3" s="22"/>
      <c r="W3" s="22"/>
      <c r="X3" s="22"/>
      <c r="Y3" s="25"/>
      <c r="Z3" s="31"/>
      <c r="AA3" s="31"/>
    </row>
    <row r="4" s="15" customFormat="1" ht="17.6" spans="1:27">
      <c r="A4" s="20"/>
      <c r="B4" s="18" t="s">
        <v>29</v>
      </c>
      <c r="C4" s="19">
        <v>21</v>
      </c>
      <c r="D4" s="18">
        <f t="shared" si="0"/>
        <v>21</v>
      </c>
      <c r="E4" s="22"/>
      <c r="F4" s="22"/>
      <c r="G4" s="22"/>
      <c r="H4" s="22"/>
      <c r="I4" s="22"/>
      <c r="J4" s="22"/>
      <c r="K4" s="22"/>
      <c r="L4" s="22"/>
      <c r="M4" s="25"/>
      <c r="N4" s="23">
        <v>6</v>
      </c>
      <c r="O4" s="26">
        <v>7</v>
      </c>
      <c r="P4" s="22"/>
      <c r="Q4" s="22"/>
      <c r="R4" s="23"/>
      <c r="S4" s="23"/>
      <c r="T4" s="22">
        <v>8</v>
      </c>
      <c r="U4" s="23"/>
      <c r="V4" s="15"/>
      <c r="W4" s="22"/>
      <c r="X4" s="23"/>
      <c r="Y4" s="25"/>
      <c r="Z4" s="31"/>
      <c r="AA4" s="31"/>
    </row>
    <row r="5" s="15" customFormat="1" ht="17.6" spans="1:27">
      <c r="A5" s="20"/>
      <c r="B5" s="18" t="s">
        <v>30</v>
      </c>
      <c r="C5" s="19">
        <v>21</v>
      </c>
      <c r="D5" s="18">
        <f t="shared" si="0"/>
        <v>21</v>
      </c>
      <c r="E5" s="22"/>
      <c r="F5" s="23"/>
      <c r="G5" s="22"/>
      <c r="H5" s="22"/>
      <c r="I5" s="22"/>
      <c r="J5" s="22"/>
      <c r="K5" s="22"/>
      <c r="L5" s="23">
        <v>2</v>
      </c>
      <c r="M5" s="27">
        <v>6</v>
      </c>
      <c r="N5" s="28"/>
      <c r="O5" s="26">
        <v>2</v>
      </c>
      <c r="P5" s="22"/>
      <c r="Q5" s="22"/>
      <c r="R5" s="23"/>
      <c r="S5" s="23"/>
      <c r="T5" s="22">
        <v>11</v>
      </c>
      <c r="U5" s="23"/>
      <c r="V5" s="22"/>
      <c r="W5" s="22"/>
      <c r="X5" s="23"/>
      <c r="Y5" s="25"/>
      <c r="Z5" s="31"/>
      <c r="AA5" s="31"/>
    </row>
    <row r="6" s="15" customFormat="1" ht="17.6" spans="1:27">
      <c r="A6" s="20"/>
      <c r="B6" s="18" t="s">
        <v>31</v>
      </c>
      <c r="C6" s="19">
        <v>21</v>
      </c>
      <c r="D6" s="18">
        <f t="shared" si="0"/>
        <v>21</v>
      </c>
      <c r="E6" s="22"/>
      <c r="F6" s="22"/>
      <c r="G6" s="23">
        <v>8</v>
      </c>
      <c r="H6" s="22"/>
      <c r="I6" s="22"/>
      <c r="J6" s="22"/>
      <c r="K6" s="22"/>
      <c r="L6" s="22"/>
      <c r="M6" s="27"/>
      <c r="N6" s="28"/>
      <c r="O6" s="26">
        <v>8</v>
      </c>
      <c r="P6" s="22"/>
      <c r="Q6" s="22"/>
      <c r="R6" s="23"/>
      <c r="S6" s="23">
        <v>5</v>
      </c>
      <c r="T6" s="22"/>
      <c r="U6" s="23"/>
      <c r="V6" s="23"/>
      <c r="W6" s="22"/>
      <c r="X6" s="22"/>
      <c r="Y6" s="25"/>
      <c r="Z6" s="31"/>
      <c r="AA6" s="31"/>
    </row>
    <row r="7" s="15" customFormat="1" ht="17.6" spans="1:27">
      <c r="A7" s="20"/>
      <c r="B7" s="18" t="s">
        <v>32</v>
      </c>
      <c r="C7" s="19">
        <v>21</v>
      </c>
      <c r="D7" s="18">
        <f t="shared" si="0"/>
        <v>21</v>
      </c>
      <c r="E7" s="22"/>
      <c r="F7" s="22"/>
      <c r="G7" s="22"/>
      <c r="H7" s="22"/>
      <c r="I7" s="22"/>
      <c r="J7" s="22"/>
      <c r="K7" s="22"/>
      <c r="L7" s="22"/>
      <c r="M7" s="27"/>
      <c r="N7" s="28"/>
      <c r="O7" s="29"/>
      <c r="P7" s="22"/>
      <c r="Q7" s="22"/>
      <c r="R7" s="23"/>
      <c r="S7" s="23">
        <v>9</v>
      </c>
      <c r="T7" s="23">
        <v>12</v>
      </c>
      <c r="U7" s="23"/>
      <c r="V7" s="22"/>
      <c r="W7" s="22"/>
      <c r="X7" s="22"/>
      <c r="Y7" s="25"/>
      <c r="Z7" s="31"/>
      <c r="AA7" s="31"/>
    </row>
    <row r="8" s="15" customFormat="1" ht="17.6" spans="1:27">
      <c r="A8" s="20"/>
      <c r="B8" s="18" t="s">
        <v>33</v>
      </c>
      <c r="C8" s="19">
        <v>21</v>
      </c>
      <c r="D8" s="18">
        <f t="shared" si="0"/>
        <v>21</v>
      </c>
      <c r="E8" s="22"/>
      <c r="F8" s="22"/>
      <c r="G8" s="22"/>
      <c r="H8" s="22"/>
      <c r="I8" s="22"/>
      <c r="J8" s="22"/>
      <c r="K8" s="22"/>
      <c r="L8" s="22"/>
      <c r="M8" s="25"/>
      <c r="N8" s="28"/>
      <c r="O8" s="26">
        <v>3</v>
      </c>
      <c r="P8" s="22"/>
      <c r="Q8" s="22"/>
      <c r="R8" s="23">
        <v>18</v>
      </c>
      <c r="S8" s="23"/>
      <c r="T8" s="22"/>
      <c r="U8" s="23"/>
      <c r="V8" s="22"/>
      <c r="W8" s="22"/>
      <c r="X8" s="22"/>
      <c r="Y8" s="25"/>
      <c r="Z8" s="31"/>
      <c r="AA8" s="31"/>
    </row>
    <row r="9" s="15" customFormat="1" ht="17.6" spans="1:27">
      <c r="A9" s="20"/>
      <c r="B9" s="18" t="s">
        <v>34</v>
      </c>
      <c r="C9" s="19">
        <v>21</v>
      </c>
      <c r="D9" s="18">
        <f t="shared" si="0"/>
        <v>21</v>
      </c>
      <c r="E9" s="22"/>
      <c r="F9" s="22"/>
      <c r="G9" s="22"/>
      <c r="H9" s="22"/>
      <c r="I9" s="22"/>
      <c r="J9" s="22"/>
      <c r="K9" s="22"/>
      <c r="L9" s="23">
        <v>5</v>
      </c>
      <c r="M9" s="25"/>
      <c r="N9" s="28"/>
      <c r="O9" s="29"/>
      <c r="P9" s="22"/>
      <c r="Q9" s="22"/>
      <c r="R9" s="23"/>
      <c r="S9" s="23"/>
      <c r="T9" s="22"/>
      <c r="U9" s="23"/>
      <c r="V9" s="22"/>
      <c r="W9" s="22"/>
      <c r="X9" s="23">
        <v>16</v>
      </c>
      <c r="Y9" s="25"/>
      <c r="Z9" s="31"/>
      <c r="AA9" s="31"/>
    </row>
    <row r="10" s="15" customFormat="1" ht="17.6" spans="1:27">
      <c r="A10" s="20"/>
      <c r="B10" s="18" t="s">
        <v>35</v>
      </c>
      <c r="C10" s="19">
        <v>21</v>
      </c>
      <c r="D10" s="18">
        <f t="shared" si="0"/>
        <v>21</v>
      </c>
      <c r="E10" s="22"/>
      <c r="F10" s="22"/>
      <c r="G10" s="22"/>
      <c r="H10" s="22"/>
      <c r="I10" s="22"/>
      <c r="J10" s="22"/>
      <c r="K10" s="22"/>
      <c r="L10" s="22"/>
      <c r="M10" s="25"/>
      <c r="N10" s="28"/>
      <c r="O10" s="26">
        <v>9</v>
      </c>
      <c r="P10" s="22"/>
      <c r="Q10" s="22"/>
      <c r="R10" s="23"/>
      <c r="S10" s="23"/>
      <c r="T10" s="22">
        <v>12</v>
      </c>
      <c r="U10" s="23"/>
      <c r="V10" s="22"/>
      <c r="W10" s="22"/>
      <c r="X10" s="22"/>
      <c r="Y10" s="25"/>
      <c r="Z10" s="31"/>
      <c r="AA10" s="31"/>
    </row>
    <row r="11" s="15" customFormat="1" ht="17.6" spans="1:27">
      <c r="A11" s="20"/>
      <c r="B11" s="18" t="s">
        <v>36</v>
      </c>
      <c r="C11" s="19">
        <v>21</v>
      </c>
      <c r="D11" s="18">
        <f t="shared" si="0"/>
        <v>21</v>
      </c>
      <c r="E11" s="22"/>
      <c r="F11" s="22"/>
      <c r="G11" s="22"/>
      <c r="H11" s="22"/>
      <c r="I11" s="22"/>
      <c r="J11" s="22"/>
      <c r="K11" s="22"/>
      <c r="L11" s="23">
        <v>5</v>
      </c>
      <c r="M11" s="25"/>
      <c r="N11" s="28"/>
      <c r="O11" s="29"/>
      <c r="P11" s="22"/>
      <c r="Q11" s="22"/>
      <c r="R11" s="23"/>
      <c r="S11" s="23">
        <v>6</v>
      </c>
      <c r="T11" s="22">
        <v>10</v>
      </c>
      <c r="U11" s="23"/>
      <c r="V11" s="22"/>
      <c r="W11" s="22"/>
      <c r="X11" s="22"/>
      <c r="Y11" s="25"/>
      <c r="Z11" s="31"/>
      <c r="AA11" s="31"/>
    </row>
    <row r="12" s="15" customFormat="1" ht="17.6" spans="1:27">
      <c r="A12" s="20"/>
      <c r="B12" s="18" t="s">
        <v>37</v>
      </c>
      <c r="C12" s="19"/>
      <c r="D12" s="18">
        <f t="shared" si="0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30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5"/>
      <c r="Z12" s="31"/>
      <c r="AA12" s="31"/>
    </row>
    <row r="13" s="15" customFormat="1" ht="17.6" spans="1:27">
      <c r="A13" s="20"/>
      <c r="B13" s="18" t="s">
        <v>38</v>
      </c>
      <c r="C13" s="19"/>
      <c r="D13" s="18">
        <f t="shared" si="0"/>
        <v>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5"/>
      <c r="Z13" s="31"/>
      <c r="AA13" s="31"/>
    </row>
  </sheetData>
  <mergeCells count="1">
    <mergeCell ref="A2:A13"/>
  </mergeCells>
  <conditionalFormatting sqref="D2:D13">
    <cfRule type="cellIs" dxfId="0" priority="1" operator="between">
      <formula>1</formula>
      <formula>20</formula>
    </cfRule>
    <cfRule type="cellIs" dxfId="1" priority="2" operator="greaterThan">
      <formula>21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F18" sqref="F18"/>
    </sheetView>
  </sheetViews>
  <sheetFormatPr defaultColWidth="9" defaultRowHeight="16.8"/>
  <cols>
    <col min="2" max="2" width="12.3970588235294" style="1" customWidth="1"/>
    <col min="3" max="4" width="11.3970588235294" style="1" customWidth="1"/>
    <col min="5" max="5" width="9.13235294117647" style="1" customWidth="1"/>
    <col min="6" max="6" width="10.4632352941176" style="1" customWidth="1"/>
    <col min="7" max="8" width="11.3970588235294" style="1" customWidth="1"/>
    <col min="9" max="9" width="12.3970588235294" style="1" customWidth="1"/>
  </cols>
  <sheetData>
    <row r="1" spans="2:9">
      <c r="B1" s="2" t="s">
        <v>26</v>
      </c>
      <c r="C1" s="3"/>
      <c r="D1" s="3"/>
      <c r="E1" s="3"/>
      <c r="F1" s="3"/>
      <c r="G1" s="3"/>
      <c r="H1" s="3"/>
      <c r="I1" s="3"/>
    </row>
    <row r="2" spans="2:9">
      <c r="B2" s="4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</row>
    <row r="3" spans="1:9">
      <c r="A3" s="6" t="s">
        <v>47</v>
      </c>
      <c r="B3" s="7">
        <v>30783</v>
      </c>
      <c r="C3" s="8">
        <v>4010.4</v>
      </c>
      <c r="D3" s="8">
        <v>2631.83</v>
      </c>
      <c r="E3" s="8">
        <v>50.13</v>
      </c>
      <c r="F3" s="8">
        <v>125.33</v>
      </c>
      <c r="G3" s="8">
        <v>3294</v>
      </c>
      <c r="H3" s="8"/>
      <c r="I3" s="8">
        <f>SUM(B3:H3)</f>
        <v>40894.69</v>
      </c>
    </row>
    <row r="4" spans="1:9">
      <c r="A4" s="9" t="s">
        <v>48</v>
      </c>
      <c r="B4" s="7">
        <v>19478.7</v>
      </c>
      <c r="C4" s="8">
        <v>3465.6</v>
      </c>
      <c r="D4" s="8">
        <v>2274.3</v>
      </c>
      <c r="E4" s="8">
        <v>43.32</v>
      </c>
      <c r="F4" s="8">
        <v>108.3</v>
      </c>
      <c r="G4" s="8">
        <v>2599</v>
      </c>
      <c r="H4" s="8"/>
      <c r="I4" s="8">
        <f>SUM(B4:H4)</f>
        <v>27969.22</v>
      </c>
    </row>
    <row r="5" spans="1:9">
      <c r="A5" s="9" t="s">
        <v>49</v>
      </c>
      <c r="B5" s="7">
        <v>20242.8</v>
      </c>
      <c r="C5" s="8">
        <v>3601.44</v>
      </c>
      <c r="D5" s="8">
        <v>2363.45</v>
      </c>
      <c r="E5" s="8">
        <v>45.02</v>
      </c>
      <c r="F5" s="8">
        <v>112.55</v>
      </c>
      <c r="G5" s="8">
        <v>2701</v>
      </c>
      <c r="H5" s="8"/>
      <c r="I5" s="8">
        <f>SUM(B5:H5)</f>
        <v>29066.26</v>
      </c>
    </row>
    <row r="6" spans="1:9">
      <c r="A6" s="9" t="s">
        <v>50</v>
      </c>
      <c r="B6" s="7">
        <v>21366.9</v>
      </c>
      <c r="C6" s="8">
        <v>3801.28</v>
      </c>
      <c r="D6" s="8">
        <v>2494.59</v>
      </c>
      <c r="E6" s="8">
        <v>47.52</v>
      </c>
      <c r="F6" s="8">
        <v>118.79</v>
      </c>
      <c r="G6" s="8">
        <v>2851</v>
      </c>
      <c r="H6" s="8"/>
      <c r="I6" s="8">
        <f>SUM(B6:H6)</f>
        <v>30680.08</v>
      </c>
    </row>
    <row r="7" spans="1:9">
      <c r="A7" s="10" t="s">
        <v>51</v>
      </c>
      <c r="B7" s="7"/>
      <c r="C7" s="8"/>
      <c r="D7" s="8"/>
      <c r="E7" s="8"/>
      <c r="F7" s="8"/>
      <c r="G7" s="8"/>
      <c r="H7" s="8">
        <v>30970.83</v>
      </c>
      <c r="I7" s="8">
        <f>SUM(B7:H7)</f>
        <v>30970.83</v>
      </c>
    </row>
    <row r="8" spans="1:9">
      <c r="A8" s="9" t="s">
        <v>52</v>
      </c>
      <c r="B8" s="7">
        <v>17089.2</v>
      </c>
      <c r="C8" s="8">
        <v>3040.8</v>
      </c>
      <c r="D8" s="8">
        <v>1995.53</v>
      </c>
      <c r="E8" s="8">
        <v>38.01</v>
      </c>
      <c r="F8" s="8">
        <v>95.03</v>
      </c>
      <c r="G8" s="8">
        <v>2279</v>
      </c>
      <c r="H8" s="8"/>
      <c r="I8" s="8">
        <f t="shared" ref="I8:I18" si="0">SUM(B8:H8)</f>
        <v>24537.57</v>
      </c>
    </row>
    <row r="9" spans="1:9">
      <c r="A9" s="9" t="s">
        <v>53</v>
      </c>
      <c r="B9" s="7">
        <v>8678.06</v>
      </c>
      <c r="C9" s="8">
        <v>1696</v>
      </c>
      <c r="D9" s="8">
        <v>1113</v>
      </c>
      <c r="E9" s="8">
        <v>21.2</v>
      </c>
      <c r="F9" s="8">
        <v>53</v>
      </c>
      <c r="G9" s="8">
        <v>1272</v>
      </c>
      <c r="H9" s="8"/>
      <c r="I9" s="8">
        <f t="shared" si="0"/>
        <v>12833.26</v>
      </c>
    </row>
    <row r="10" spans="1:9">
      <c r="A10" s="10" t="s">
        <v>54</v>
      </c>
      <c r="B10" s="7"/>
      <c r="C10" s="8"/>
      <c r="D10" s="8"/>
      <c r="E10" s="8"/>
      <c r="F10" s="8"/>
      <c r="G10" s="8"/>
      <c r="H10" s="8">
        <v>10065.82</v>
      </c>
      <c r="I10" s="8">
        <f t="shared" si="0"/>
        <v>10065.82</v>
      </c>
    </row>
    <row r="11" spans="1:9">
      <c r="A11" s="9" t="s">
        <v>55</v>
      </c>
      <c r="B11" s="7">
        <v>22500</v>
      </c>
      <c r="C11" s="8">
        <v>4010.4</v>
      </c>
      <c r="D11" s="8">
        <v>2631.83</v>
      </c>
      <c r="E11" s="8">
        <v>50.13</v>
      </c>
      <c r="F11" s="8">
        <v>125.33</v>
      </c>
      <c r="G11" s="8">
        <v>3000</v>
      </c>
      <c r="H11" s="8"/>
      <c r="I11" s="8">
        <f t="shared" si="0"/>
        <v>32317.69</v>
      </c>
    </row>
    <row r="12" spans="1:9">
      <c r="A12" s="9" t="s">
        <v>56</v>
      </c>
      <c r="B12" s="7">
        <v>20700</v>
      </c>
      <c r="C12" s="8">
        <v>3710.88</v>
      </c>
      <c r="D12" s="8">
        <v>2435.27</v>
      </c>
      <c r="E12" s="8">
        <v>46.39</v>
      </c>
      <c r="F12" s="8">
        <v>115.97</v>
      </c>
      <c r="G12" s="8">
        <v>2783</v>
      </c>
      <c r="H12" s="8"/>
      <c r="I12" s="8">
        <f t="shared" si="0"/>
        <v>29791.51</v>
      </c>
    </row>
    <row r="13" spans="1:9">
      <c r="A13" s="10" t="s">
        <v>57</v>
      </c>
      <c r="B13" s="7"/>
      <c r="C13" s="8"/>
      <c r="D13" s="8"/>
      <c r="E13" s="8"/>
      <c r="F13" s="8"/>
      <c r="G13" s="8"/>
      <c r="H13" s="8">
        <v>10105.65</v>
      </c>
      <c r="I13" s="8">
        <f t="shared" si="0"/>
        <v>10105.65</v>
      </c>
    </row>
    <row r="14" spans="1:9">
      <c r="A14" s="9" t="s">
        <v>58</v>
      </c>
      <c r="B14" s="7">
        <v>7990</v>
      </c>
      <c r="C14" s="8">
        <v>1360</v>
      </c>
      <c r="D14" s="8">
        <v>892.5</v>
      </c>
      <c r="E14" s="8">
        <v>17</v>
      </c>
      <c r="F14" s="8">
        <v>42.5</v>
      </c>
      <c r="G14" s="8">
        <v>1020</v>
      </c>
      <c r="H14" s="8"/>
      <c r="I14" s="8">
        <f t="shared" si="0"/>
        <v>11322</v>
      </c>
    </row>
    <row r="15" spans="1:9">
      <c r="A15" s="10" t="s">
        <v>59</v>
      </c>
      <c r="B15" s="7"/>
      <c r="C15" s="8"/>
      <c r="D15" s="8"/>
      <c r="E15" s="8"/>
      <c r="F15" s="8"/>
      <c r="G15" s="8"/>
      <c r="H15" s="8">
        <v>29329.16</v>
      </c>
      <c r="I15" s="8">
        <f t="shared" si="0"/>
        <v>29329.16</v>
      </c>
    </row>
    <row r="16" spans="1:9">
      <c r="A16" s="10" t="s">
        <v>60</v>
      </c>
      <c r="B16" s="7"/>
      <c r="C16" s="8"/>
      <c r="D16" s="8"/>
      <c r="E16" s="8"/>
      <c r="F16" s="8"/>
      <c r="G16" s="8"/>
      <c r="H16" s="8">
        <v>7089.66</v>
      </c>
      <c r="I16" s="8">
        <f t="shared" si="0"/>
        <v>7089.66</v>
      </c>
    </row>
    <row r="17" spans="1:9">
      <c r="A17" s="11" t="s">
        <v>61</v>
      </c>
      <c r="B17" s="7">
        <v>19080</v>
      </c>
      <c r="C17" s="8">
        <v>4010.4</v>
      </c>
      <c r="D17" s="8">
        <f>2255.85+125.33+250.65</f>
        <v>2631.83</v>
      </c>
      <c r="E17" s="8">
        <v>137.86</v>
      </c>
      <c r="F17" s="8">
        <v>125.33</v>
      </c>
      <c r="G17" s="8">
        <v>2539</v>
      </c>
      <c r="H17" s="8"/>
      <c r="I17" s="8">
        <f t="shared" si="0"/>
        <v>28524.42</v>
      </c>
    </row>
    <row r="18" spans="1:9">
      <c r="A18" s="9" t="s">
        <v>62</v>
      </c>
      <c r="B18" s="7">
        <v>22500</v>
      </c>
      <c r="C18" s="8">
        <v>4000</v>
      </c>
      <c r="D18" s="8">
        <v>2625</v>
      </c>
      <c r="E18" s="8">
        <v>50</v>
      </c>
      <c r="F18" s="8">
        <v>125</v>
      </c>
      <c r="G18" s="8">
        <v>3000</v>
      </c>
      <c r="H18" s="8"/>
      <c r="I18" s="8">
        <f t="shared" si="0"/>
        <v>32300</v>
      </c>
    </row>
    <row r="19" spans="1:9">
      <c r="A19" s="9" t="s">
        <v>63</v>
      </c>
      <c r="B19" s="7"/>
      <c r="C19" s="8"/>
      <c r="D19" s="8"/>
      <c r="E19" s="8"/>
      <c r="F19" s="8"/>
      <c r="G19" s="8"/>
      <c r="H19" s="8"/>
      <c r="I19" s="8"/>
    </row>
    <row r="20" spans="1:9">
      <c r="A20" s="9" t="s">
        <v>64</v>
      </c>
      <c r="B20" s="7"/>
      <c r="C20" s="8"/>
      <c r="D20" s="8"/>
      <c r="E20" s="8"/>
      <c r="F20" s="8"/>
      <c r="G20" s="8"/>
      <c r="H20" s="8"/>
      <c r="I20" s="8"/>
    </row>
    <row r="21" spans="1:9">
      <c r="A21" s="12" t="s">
        <v>65</v>
      </c>
      <c r="B21" s="7"/>
      <c r="C21" s="8"/>
      <c r="D21" s="8"/>
      <c r="E21" s="8"/>
      <c r="F21" s="8"/>
      <c r="G21" s="8"/>
      <c r="H21" s="8"/>
      <c r="I21" s="8"/>
    </row>
    <row r="22" spans="2:9">
      <c r="B22" s="13">
        <f t="shared" ref="B22:I22" si="1">SUM(B3:B18)</f>
        <v>210408.66</v>
      </c>
      <c r="C22" s="13">
        <f t="shared" si="1"/>
        <v>36707.2</v>
      </c>
      <c r="D22" s="13">
        <f t="shared" si="1"/>
        <v>24089.13</v>
      </c>
      <c r="E22" s="13">
        <f t="shared" si="1"/>
        <v>546.58</v>
      </c>
      <c r="F22" s="13">
        <f t="shared" si="1"/>
        <v>1147.13</v>
      </c>
      <c r="G22" s="13">
        <f t="shared" si="1"/>
        <v>27338</v>
      </c>
      <c r="H22" s="13">
        <f t="shared" si="1"/>
        <v>87561.12</v>
      </c>
      <c r="I22" s="13">
        <f t="shared" si="1"/>
        <v>387797.82</v>
      </c>
    </row>
  </sheetData>
  <mergeCells count="1">
    <mergeCell ref="B1:I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7056C8-5FA9-4928-A8CA-539D8128E703}"/>
</file>

<file path=customXml/itemProps2.xml><?xml version="1.0" encoding="utf-8"?>
<ds:datastoreItem xmlns:ds="http://schemas.openxmlformats.org/officeDocument/2006/customXml" ds:itemID="{78D24E41-6C43-40E0-B8C1-8823262473DE}"/>
</file>

<file path=customXml/itemProps3.xml><?xml version="1.0" encoding="utf-8"?>
<ds:datastoreItem xmlns:ds="http://schemas.openxmlformats.org/officeDocument/2006/customXml" ds:itemID="{3C60E6FE-8D66-4392-AA7E-FBA945184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工时</vt:lpstr>
      <vt:lpstr>薪酬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晓非 刘</dc:creator>
  <cp:lastModifiedBy>傩诺</cp:lastModifiedBy>
  <dcterms:created xsi:type="dcterms:W3CDTF">2025-11-24T08:47:00Z</dcterms:created>
  <dcterms:modified xsi:type="dcterms:W3CDTF">2026-02-09T20:48:27Z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C2AAEC8608B649B1998EAADAECB45A00_12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